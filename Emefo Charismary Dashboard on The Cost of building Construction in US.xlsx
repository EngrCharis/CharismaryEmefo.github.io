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user\Desktop\Zarttalent Assignments\"/>
    </mc:Choice>
  </mc:AlternateContent>
  <xr:revisionPtr revIDLastSave="0" documentId="13_ncr:1_{60E8939B-CEEE-4A3E-98DC-B5F44E0DAEA1}" xr6:coauthVersionLast="47" xr6:coauthVersionMax="47" xr10:uidLastSave="{00000000-0000-0000-0000-000000000000}"/>
  <bookViews>
    <workbookView xWindow="-120" yWindow="-120" windowWidth="20730" windowHeight="11040" activeTab="3" xr2:uid="{94085385-F1CE-452A-93BB-73652525F34E}"/>
  </bookViews>
  <sheets>
    <sheet name="Overview" sheetId="12" r:id="rId1"/>
    <sheet name="Dataset " sheetId="4" r:id="rId2"/>
    <sheet name="Report " sheetId="2" r:id="rId3"/>
    <sheet name="Dashboard" sheetId="3" r:id="rId4"/>
  </sheets>
  <definedNames>
    <definedName name="NativeTimeline_Period">#N/A</definedName>
    <definedName name="Slicer_Month">#N/A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<sst xmlns="http://schemas.openxmlformats.org/spreadsheetml/2006/main" count="123" uniqueCount="56">
  <si>
    <t>annual.combined.nonresidential</t>
  </si>
  <si>
    <t>annual.combined.residential</t>
  </si>
  <si>
    <t>annual.combined.total construction</t>
  </si>
  <si>
    <t>annual.private.nonresidential</t>
  </si>
  <si>
    <t>annual.private.residential</t>
  </si>
  <si>
    <t>annual.private.total construction</t>
  </si>
  <si>
    <t>annual.public.nonresidential</t>
  </si>
  <si>
    <t>annual.public.residential</t>
  </si>
  <si>
    <t>annual.public.total construction</t>
  </si>
  <si>
    <t>current.combined.nonresidential</t>
  </si>
  <si>
    <t>current.combined.residential</t>
  </si>
  <si>
    <t>current.combined.total construction</t>
  </si>
  <si>
    <t>current.private.nonresidential</t>
  </si>
  <si>
    <t>current.private.residential</t>
  </si>
  <si>
    <t>current.private.total construction</t>
  </si>
  <si>
    <t>current.public.nonresidential</t>
  </si>
  <si>
    <t>current.public.residential</t>
  </si>
  <si>
    <t>current.public.total construction</t>
  </si>
  <si>
    <t>Jan</t>
  </si>
  <si>
    <t>Feb</t>
  </si>
  <si>
    <t>Mar</t>
  </si>
  <si>
    <t>Apr</t>
  </si>
  <si>
    <t>May</t>
  </si>
  <si>
    <t>Jun</t>
  </si>
  <si>
    <t>Jul</t>
  </si>
  <si>
    <t>Aug</t>
  </si>
  <si>
    <t>Sep</t>
  </si>
  <si>
    <t>Oct</t>
  </si>
  <si>
    <t>Nov</t>
  </si>
  <si>
    <t>Dec</t>
  </si>
  <si>
    <t>Month</t>
  </si>
  <si>
    <t>Period</t>
  </si>
  <si>
    <t>Year</t>
  </si>
  <si>
    <t>Row Labels</t>
  </si>
  <si>
    <t>Grand Total</t>
  </si>
  <si>
    <t>(All)</t>
  </si>
  <si>
    <t>public.total construction</t>
  </si>
  <si>
    <t>private.total construction</t>
  </si>
  <si>
    <t>2013</t>
  </si>
  <si>
    <t>time.index</t>
  </si>
  <si>
    <t>Residential</t>
  </si>
  <si>
    <t>Private</t>
  </si>
  <si>
    <t>Public</t>
  </si>
  <si>
    <t>Nonresidential</t>
  </si>
  <si>
    <t>Sum of current.private.nonresidential</t>
  </si>
  <si>
    <t>Sum of current.private.residential</t>
  </si>
  <si>
    <t>Cost of Construction Trends by Categories</t>
  </si>
  <si>
    <t>Sum of current.public.nonresidential</t>
  </si>
  <si>
    <t>Sum of current.public.residential</t>
  </si>
  <si>
    <t>Residential Buildings Spendings by Sector</t>
  </si>
  <si>
    <t xml:space="preserve"> Nonesidential Buildings Spendings by Sector</t>
  </si>
  <si>
    <t>Total Construction Spending Trends based on Sector</t>
  </si>
  <si>
    <t>2012</t>
  </si>
  <si>
    <t>2014</t>
  </si>
  <si>
    <t>2015</t>
  </si>
  <si>
    <t>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</si>
</sst>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_(&quot;$&quot;* #,##0_);_(&quot;$&quot;* \(#,##0\);_(&quot;$&quot;*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sz val="16"/>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5">
    <xf numFmtId="0" fontId="0" fillId="0" borderId="0" xfId="0"/>
    <xf numFmtId="0" fontId="0" fillId="2" borderId="0" xfId="0" applyFill="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0" fontId="0" fillId="0" borderId="0" xfId="0" applyAlignment="1">
      <alignment horizontal="center" vertical="top"/>
    </xf>
    <xf numFmtId="43" fontId="0" fillId="0" borderId="0" xfId="1" applyFont="1" applyAlignment="1">
      <alignment horizontal="center" vertical="top"/>
    </xf>
    <xf numFmtId="17" fontId="0" fillId="0" borderId="0" xfId="0" applyNumberFormat="1" applyAlignment="1">
      <alignment horizontal="center" vertical="top"/>
    </xf>
    <xf numFmtId="43" fontId="3" fillId="3" borderId="0" xfId="1" applyFont="1" applyFill="1" applyAlignment="1">
      <alignment horizontal="center" vertical="top"/>
    </xf>
    <xf numFmtId="164" fontId="0" fillId="0" borderId="0" xfId="2" applyNumberFormat="1" applyFont="1"/>
    <xf numFmtId="0" fontId="2" fillId="0" borderId="0" xfId="0" applyFont="1"/>
    <xf numFmtId="0" fontId="4" fillId="2" borderId="0" xfId="0" applyFont="1" applyFill="1"/>
    <xf numFmtId="0" fontId="0" fillId="0" borderId="0" xfId="0" applyAlignment="1">
      <alignment horizontal="center"/>
    </xf>
    <xf numFmtId="0" fontId="2" fillId="0" borderId="0" xfId="0" applyFont="1" applyAlignment="1">
      <alignment horizontal="center"/>
    </xf>
  </cellXfs>
  <cellStyles count="3">
    <cellStyle name="Comma" xfId="1" builtinId="3"/>
    <cellStyle name="Currency" xfId="2" builtinId="4"/>
    <cellStyle name="Normal" xfId="0" builtinId="0"/>
  </cellStyles>
  <dxfs count="42">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alignment horizontal="center" vertical="top" textRotation="0" wrapText="0" indent="0" justifyLastLine="0" shrinkToFit="0" readingOrder="0"/>
    </dxf>
    <dxf>
      <numFmt numFmtId="22" formatCode="mmm/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sz val="11"/>
        <color theme="1"/>
      </font>
    </dxf>
    <dxf>
      <fill>
        <patternFill patternType="solid">
          <fgColor theme="0"/>
          <bgColor theme="0" tint="-4.9989318521683403E-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tint="-4.9989318521683403E-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2"/>
        <name val="Open Sans Light"/>
        <family val="2"/>
        <scheme val="none"/>
      </font>
      <fill>
        <patternFill patternType="solid">
          <fgColor theme="0"/>
          <bgColor theme="0" tint="-4.9989318521683403E-2"/>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0" tint="-4.9989318521683403E-2"/>
        </patternFill>
      </fill>
    </dxf>
    <dxf>
      <fill>
        <patternFill>
          <bgColor theme="0" tint="-4.9989318521683403E-2"/>
        </patternFill>
      </fill>
    </dxf>
    <dxf>
      <fill>
        <patternFill>
          <bgColor theme="0" tint="-4.9989318521683403E-2"/>
        </patternFill>
      </fill>
    </dxf>
  </dxfs>
  <tableStyles count="6" defaultTableStyle="TableStyleMedium2" defaultPivotStyle="PivotStyleLight16">
    <tableStyle name="Slicer Style 1" pivot="0" table="0" count="8" xr9:uid="{69848B14-7DD0-4A79-A5BA-EFCBB6CC794A}">
      <tableStyleElement type="headerRow" dxfId="41"/>
    </tableStyle>
    <tableStyle name="Slicer Style 2" pivot="0" table="0" count="2" xr9:uid="{A4C6B142-3D45-434A-BEC7-941BDACED81A}">
      <tableStyleElement type="wholeTable" dxfId="40"/>
    </tableStyle>
    <tableStyle name="Slicer Style 3" pivot="0" table="0" count="9" xr9:uid="{55CD8607-B080-476F-B697-5ACF70CC0901}">
      <tableStyleElement type="wholeTable" dxfId="39"/>
    </tableStyle>
    <tableStyle name="Timeline Style 1" pivot="0" table="0" count="8" xr9:uid="{1E440F7A-852E-47FE-82DF-A148E746A5C5}">
      <tableStyleElement type="wholeTable" dxfId="38"/>
      <tableStyleElement type="headerRow" dxfId="37"/>
    </tableStyle>
    <tableStyle name="Timeline Style 2" pivot="0" table="0" count="8" xr9:uid="{57807E6E-DAFD-4342-96EE-1569CF88920F}">
      <tableStyleElement type="wholeTable" dxfId="36"/>
      <tableStyleElement type="headerRow" dxfId="35"/>
    </tableStyle>
    <tableStyle name="Timeline Style 3" pivot="0" table="0" count="8" xr9:uid="{9A465309-9278-4B10-AC17-4909787A9713}">
      <tableStyleElement type="wholeTable" dxfId="34"/>
      <tableStyleElement type="headerRow" dxfId="33"/>
    </tableStyle>
  </tableStyles>
  <colors>
    <mruColors>
      <color rgb="FF4F81BD"/>
    </mruColors>
  </colors>
  <extLst>
    <ext xmlns:x14="http://schemas.microsoft.com/office/spreadsheetml/2009/9/main" uri="{46F421CA-312F-682f-3DD2-61675219B42D}">
      <x14:dxfs count="16">
        <dxf>
          <fill>
            <patternFill>
              <bgColor theme="4"/>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0" tint="-4.9989318521683403E-2"/>
            </patternFill>
          </fill>
        </dxf>
        <dxf>
          <fill>
            <patternFill>
              <bgColor theme="4"/>
            </patternFill>
          </fill>
        </dxf>
        <dxf>
          <fill>
            <patternFill>
              <bgColor theme="0" tint="-4.9989318521683403E-2"/>
            </patternFill>
          </fill>
        </dxf>
        <dxf>
          <fill>
            <patternFill>
              <bgColor theme="4"/>
            </patternFill>
          </fill>
        </dxf>
        <dxf>
          <fill>
            <patternFill>
              <bgColor theme="0" tint="-4.9989318521683403E-2"/>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NoData" dxfId="13"/>
            <x14:slicerStyleElement type="hoveredUnselectedItemWithData" dxfId="12"/>
            <x14:slicerStyleElement type="hoveredSelectedItemWithData" dxfId="11"/>
            <x14:slicerStyleElement type="hoveredUnselectedItemWithNoData" dxfId="10"/>
            <x14:slicerStyleElement type="hoveredSelectedItemWithNoData" dxfId="9"/>
          </x14:slicerStyleElements>
        </x14:slicerStyle>
        <x14:slicerStyle name="Slicer Style 2">
          <x14:slicerStyleElements>
            <x14:slicerStyleElement type="unselectedItemWithData" dxfId="8"/>
          </x14:slicerStyleElements>
        </x14:slicerStyle>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8">
        <dxf>
          <fill>
            <patternFill patternType="solid">
              <fgColor theme="0" tint="-0.14996795556505021"/>
              <bgColor theme="5" tint="0.59996337778862885"/>
            </patternFill>
          </fill>
        </dxf>
        <dxf>
          <fill>
            <patternFill patternType="solid">
              <fgColor theme="0"/>
              <bgColor rgb="FF7030A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patternFill>
          </fill>
        </dxf>
        <dxf>
          <fill>
            <patternFill patternType="solid">
              <fgColor theme="0"/>
              <bgColor theme="4"/>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4"/>
            <name val="Aptos Narrow"/>
            <family val="2"/>
            <scheme val="minor"/>
          </font>
        </dxf>
        <dxf>
          <font>
            <sz val="10"/>
            <color theme="1" tint="0.499984740745262"/>
          </font>
        </dxf>
      </x15:dxfs>
    </ext>
    <ext xmlns:x15="http://schemas.microsoft.com/office/spreadsheetml/2010/11/main" uri="{9260A510-F301-46a8-8635-F512D64BE5F5}">
      <x15:timelineStyles defaultTimelineStyle="TimeSlicerStyleDark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[Emefo Charismary Assignment on Dashboard (version 2).xlsx]Report !PivotTable8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Monthly Spending Trends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'Report '!$H$6</c:f>
              <c:strCache>
                <c:ptCount val="1"/>
                <c:pt idx="0">
                  <c:v>Residential</c:v>
                </c:pt>
              </c:strCache>
            </c:strRef>
          </c:tx>
          <c:spPr>
            <a:solidFill>
              <a:schemeClr val="accent1">
                <a:shade val="76000"/>
              </a:schemeClr>
            </a:solidFill>
            <a:ln>
              <a:noFill/>
            </a:ln>
            <a:effectLst/>
          </c:spPr>
          <c:invertIfNegative val="0"/>
          <c:cat>
            <c:strRef>
              <c:f>'Report '!$G$7:$G$19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 '!$H$7:$H$19</c:f>
              <c:numCache>
                <c:formatCode>_("$"* #,##0_);_("$"* \(#,##0\);_("$"* "-"??_);_(@_)</c:formatCode>
                <c:ptCount val="12"/>
                <c:pt idx="0">
                  <c:v>256134</c:v>
                </c:pt>
                <c:pt idx="1">
                  <c:v>257002</c:v>
                </c:pt>
                <c:pt idx="2">
                  <c:v>257200</c:v>
                </c:pt>
                <c:pt idx="3">
                  <c:v>261565</c:v>
                </c:pt>
                <c:pt idx="4">
                  <c:v>265199</c:v>
                </c:pt>
                <c:pt idx="5">
                  <c:v>270551</c:v>
                </c:pt>
                <c:pt idx="6">
                  <c:v>273501</c:v>
                </c:pt>
                <c:pt idx="7">
                  <c:v>280224</c:v>
                </c:pt>
                <c:pt idx="8">
                  <c:v>287277</c:v>
                </c:pt>
                <c:pt idx="9">
                  <c:v>295753</c:v>
                </c:pt>
                <c:pt idx="10">
                  <c:v>299758</c:v>
                </c:pt>
                <c:pt idx="11">
                  <c:v>301647</c:v>
                </c:pt>
              </c:numCache>
            </c:numRef>
          </c:val>
          <c:extLst>
            <c:ext xmlns:c16="http://schemas.microsoft.com/office/drawing/2014/chart" uri="{C3380CC4-5D6E-409C-BE32-E72D297353CC}">
              <c16:uniqueId val="{00000000-FB12-4790-8F06-37694D56E20A}"/>
            </c:ext>
          </c:extLst>
        </c:ser>
        <c:dLbls>
          <c:showLegendKey val="0"/>
          <c:showVal val="0"/>
          <c:showCatName val="0"/>
          <c:showSerName val="0"/>
          <c:showPercent val="0"/>
          <c:showBubbleSize val="0"/>
        </c:dLbls>
        <c:gapWidth val="219"/>
        <c:overlap val="-27"/>
        <c:axId val="736426704"/>
        <c:axId val="736422384"/>
      </c:barChart>
      <c:lineChart>
        <c:grouping val="standard"/>
        <c:varyColors val="0"/>
        <c:ser>
          <c:idx val="1"/>
          <c:order val="1"/>
          <c:tx>
            <c:strRef>
              <c:f>'Report '!$I$6</c:f>
              <c:strCache>
                <c:ptCount val="1"/>
                <c:pt idx="0">
                  <c:v>Nonresidential</c:v>
                </c:pt>
              </c:strCache>
            </c:strRef>
          </c:tx>
          <c:spPr>
            <a:ln w="28575" cap="rnd">
              <a:solidFill>
                <a:schemeClr val="accent1">
                  <a:tint val="77000"/>
                </a:schemeClr>
              </a:solidFill>
              <a:round/>
            </a:ln>
            <a:effectLst/>
          </c:spPr>
          <c:marker>
            <c:symbol val="none"/>
          </c:marker>
          <c:cat>
            <c:strRef>
              <c:f>'Report '!$G$7:$G$19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 '!$I$7:$I$19</c:f>
              <c:numCache>
                <c:formatCode>_("$"* #,##0_);_("$"* \(#,##0\);_("$"* "-"??_);_(@_)</c:formatCode>
                <c:ptCount val="12"/>
                <c:pt idx="0">
                  <c:v>567241</c:v>
                </c:pt>
                <c:pt idx="1">
                  <c:v>568161</c:v>
                </c:pt>
                <c:pt idx="2">
                  <c:v>571468</c:v>
                </c:pt>
                <c:pt idx="3">
                  <c:v>573386</c:v>
                </c:pt>
                <c:pt idx="4">
                  <c:v>584148</c:v>
                </c:pt>
                <c:pt idx="5">
                  <c:v>588698</c:v>
                </c:pt>
                <c:pt idx="6">
                  <c:v>583801</c:v>
                </c:pt>
                <c:pt idx="7">
                  <c:v>577335</c:v>
                </c:pt>
                <c:pt idx="8">
                  <c:v>575081</c:v>
                </c:pt>
                <c:pt idx="9">
                  <c:v>574609</c:v>
                </c:pt>
                <c:pt idx="10">
                  <c:v>567098</c:v>
                </c:pt>
                <c:pt idx="11">
                  <c:v>564083</c:v>
                </c:pt>
              </c:numCache>
            </c:numRef>
          </c:val>
          <c:smooth val="0"/>
          <c:extLst>
            <c:ext xmlns:c16="http://schemas.microsoft.com/office/drawing/2014/chart" uri="{C3380CC4-5D6E-409C-BE32-E72D297353CC}">
              <c16:uniqueId val="{00000001-FB12-4790-8F06-37694D56E20A}"/>
            </c:ext>
          </c:extLst>
        </c:ser>
        <c:dLbls>
          <c:showLegendKey val="0"/>
          <c:showVal val="0"/>
          <c:showCatName val="0"/>
          <c:showSerName val="0"/>
          <c:showPercent val="0"/>
          <c:showBubbleSize val="0"/>
        </c:dLbls>
        <c:marker val="1"/>
        <c:smooth val="0"/>
        <c:axId val="736426704"/>
        <c:axId val="736422384"/>
      </c:lineChart>
      <c:catAx>
        <c:axId val="73642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22384"/>
        <c:crosses val="autoZero"/>
        <c:auto val="1"/>
        <c:lblAlgn val="ctr"/>
        <c:lblOffset val="100"/>
        <c:noMultiLvlLbl val="0"/>
      </c:catAx>
      <c:valAx>
        <c:axId val="736422384"/>
        <c:scaling>
          <c:orientation val="minMax"/>
        </c:scaling>
        <c:delete val="1"/>
        <c:axPos val="l"/>
        <c:numFmt formatCode="_(&quot;$&quot;* #,##0_);_(&quot;$&quot;* \(#,##0\);_(&quot;$&quot;* &quot;-&quot;??_);_(@_)" sourceLinked="1"/>
        <c:majorTickMark val="none"/>
        <c:minorTickMark val="none"/>
        <c:tickLblPos val="nextTo"/>
        <c:crossAx val="736426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rnd" cmpd="sng" algn="ctr">
      <a:solidFill>
        <a:schemeClr val="tx1">
          <a:lumMod val="15000"/>
          <a:lumOff val="85000"/>
        </a:schemeClr>
      </a:solidFill>
      <a:round/>
    </a:ln>
    <a:effectLst>
      <a:glow rad="635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[Emefo Charismary Assignment on Dashboard (version 2).xlsx]Report !PivotTable2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Residential Buildings Spendings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'Report '!$D$25</c:f>
              <c:strCache>
                <c:ptCount val="1"/>
                <c:pt idx="0">
                  <c:v>Private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'!$C$26:$C$31</c:f>
              <c:strCache>
                <c:ptCount val="5"/>
                <c:pt idx="0">
                  <c:v>2012</c:v>
                </c:pt>
                <c:pt idx="1">
                  <c:v>2013</c:v>
                </c:pt>
                <c:pt idx="2">
                  <c:v>2014</c:v>
                </c:pt>
                <c:pt idx="3">
                  <c:v>2015</c:v>
                </c:pt>
                <c:pt idx="4">
                  <c:v>2016</c:v>
                </c:pt>
              </c:strCache>
            </c:strRef>
          </c:cat>
          <c:val>
            <c:numRef>
              <c:f>'Report '!$D$26:$D$31</c:f>
              <c:numCache>
                <c:formatCode>_("$"* #,##0_);_("$"* \(#,##0\);_("$"* "-"??_);_(@_)</c:formatCode>
                <c:ptCount val="5"/>
                <c:pt idx="0">
                  <c:v>3230509</c:v>
                </c:pt>
                <c:pt idx="1">
                  <c:v>3878788</c:v>
                </c:pt>
                <c:pt idx="2">
                  <c:v>4447733</c:v>
                </c:pt>
                <c:pt idx="3">
                  <c:v>4995859</c:v>
                </c:pt>
                <c:pt idx="4">
                  <c:v>433164</c:v>
                </c:pt>
              </c:numCache>
            </c:numRef>
          </c:val>
          <c:extLst>
            <c:ext xmlns:c16="http://schemas.microsoft.com/office/drawing/2014/chart" uri="{C3380CC4-5D6E-409C-BE32-E72D297353CC}">
              <c16:uniqueId val="{00000000-6B60-4082-B191-B3B13769F770}"/>
            </c:ext>
          </c:extLst>
        </c:ser>
        <c:ser>
          <c:idx val="1"/>
          <c:order val="1"/>
          <c:tx>
            <c:strRef>
              <c:f>'Report '!$E$25</c:f>
              <c:strCache>
                <c:ptCount val="1"/>
                <c:pt idx="0">
                  <c:v>Public</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'!$C$26:$C$31</c:f>
              <c:strCache>
                <c:ptCount val="5"/>
                <c:pt idx="0">
                  <c:v>2012</c:v>
                </c:pt>
                <c:pt idx="1">
                  <c:v>2013</c:v>
                </c:pt>
                <c:pt idx="2">
                  <c:v>2014</c:v>
                </c:pt>
                <c:pt idx="3">
                  <c:v>2015</c:v>
                </c:pt>
                <c:pt idx="4">
                  <c:v>2016</c:v>
                </c:pt>
              </c:strCache>
            </c:strRef>
          </c:cat>
          <c:val>
            <c:numRef>
              <c:f>'Report '!$E$26:$E$31</c:f>
              <c:numCache>
                <c:formatCode>_("$"* #,##0_);_("$"* \(#,##0\);_("$"* "-"??_);_(@_)</c:formatCode>
                <c:ptCount val="5"/>
                <c:pt idx="0">
                  <c:v>75301</c:v>
                </c:pt>
                <c:pt idx="1">
                  <c:v>70226</c:v>
                </c:pt>
                <c:pt idx="2">
                  <c:v>60596</c:v>
                </c:pt>
                <c:pt idx="3">
                  <c:v>77080</c:v>
                </c:pt>
                <c:pt idx="4">
                  <c:v>5794</c:v>
                </c:pt>
              </c:numCache>
            </c:numRef>
          </c:val>
          <c:extLst>
            <c:ext xmlns:c16="http://schemas.microsoft.com/office/drawing/2014/chart" uri="{C3380CC4-5D6E-409C-BE32-E72D297353CC}">
              <c16:uniqueId val="{00000001-6B60-4082-B191-B3B13769F770}"/>
            </c:ext>
          </c:extLst>
        </c:ser>
        <c:dLbls>
          <c:dLblPos val="ctr"/>
          <c:showLegendKey val="0"/>
          <c:showVal val="1"/>
          <c:showCatName val="0"/>
          <c:showSerName val="0"/>
          <c:showPercent val="0"/>
          <c:showBubbleSize val="0"/>
        </c:dLbls>
        <c:gapWidth val="150"/>
        <c:overlap val="100"/>
        <c:axId val="736423824"/>
        <c:axId val="736424544"/>
      </c:barChart>
      <c:catAx>
        <c:axId val="7364238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24544"/>
        <c:crosses val="autoZero"/>
        <c:auto val="1"/>
        <c:lblAlgn val="ctr"/>
        <c:lblOffset val="100"/>
        <c:noMultiLvlLbl val="0"/>
      </c:catAx>
      <c:valAx>
        <c:axId val="736424544"/>
        <c:scaling>
          <c:orientation val="minMax"/>
        </c:scaling>
        <c:delete val="1"/>
        <c:axPos val="b"/>
        <c:numFmt formatCode="0%" sourceLinked="1"/>
        <c:majorTickMark val="out"/>
        <c:minorTickMark val="none"/>
        <c:tickLblPos val="nextTo"/>
        <c:crossAx val="736423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rnd" cmpd="sng" algn="ctr">
      <a:solidFill>
        <a:schemeClr val="tx1">
          <a:lumMod val="15000"/>
          <a:lumOff val="85000"/>
        </a:schemeClr>
      </a:solidFill>
      <a:round/>
    </a:ln>
    <a:effectLst>
      <a:glow rad="635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[Emefo Charismary Assignment on Dashboard (version 2).xlsx]Report !PivotTable3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2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Nonresidential Buildings Spendings by Sector</a:t>
            </a:r>
            <a:endParaRPr lang="en-US"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'!$J$25</c:f>
              <c:strCache>
                <c:ptCount val="1"/>
                <c:pt idx="0">
                  <c:v>Private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'!$I$26:$I$31</c:f>
              <c:strCache>
                <c:ptCount val="5"/>
                <c:pt idx="0">
                  <c:v>2012</c:v>
                </c:pt>
                <c:pt idx="1">
                  <c:v>2013</c:v>
                </c:pt>
                <c:pt idx="2">
                  <c:v>2014</c:v>
                </c:pt>
                <c:pt idx="3">
                  <c:v>2015</c:v>
                </c:pt>
                <c:pt idx="4">
                  <c:v>2016</c:v>
                </c:pt>
              </c:strCache>
            </c:strRef>
          </c:cat>
          <c:val>
            <c:numRef>
              <c:f>'Report '!$J$26:$J$31</c:f>
              <c:numCache>
                <c:formatCode>_("$"* #,##0_);_("$"* \(#,##0\);_("$"* "-"??_);_(@_)</c:formatCode>
                <c:ptCount val="5"/>
                <c:pt idx="0">
                  <c:v>3624786</c:v>
                </c:pt>
                <c:pt idx="1">
                  <c:v>3723882</c:v>
                </c:pt>
                <c:pt idx="2">
                  <c:v>4195307</c:v>
                </c:pt>
                <c:pt idx="3">
                  <c:v>4677050</c:v>
                </c:pt>
                <c:pt idx="4">
                  <c:v>398241</c:v>
                </c:pt>
              </c:numCache>
            </c:numRef>
          </c:val>
          <c:extLst>
            <c:ext xmlns:c16="http://schemas.microsoft.com/office/drawing/2014/chart" uri="{C3380CC4-5D6E-409C-BE32-E72D297353CC}">
              <c16:uniqueId val="{00000000-B9BB-4961-9CE3-2791F18B05C8}"/>
            </c:ext>
          </c:extLst>
        </c:ser>
        <c:ser>
          <c:idx val="1"/>
          <c:order val="1"/>
          <c:tx>
            <c:strRef>
              <c:f>'Report '!$K$25</c:f>
              <c:strCache>
                <c:ptCount val="1"/>
                <c:pt idx="0">
                  <c:v>Public</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'!$I$26:$I$31</c:f>
              <c:strCache>
                <c:ptCount val="5"/>
                <c:pt idx="0">
                  <c:v>2012</c:v>
                </c:pt>
                <c:pt idx="1">
                  <c:v>2013</c:v>
                </c:pt>
                <c:pt idx="2">
                  <c:v>2014</c:v>
                </c:pt>
                <c:pt idx="3">
                  <c:v>2015</c:v>
                </c:pt>
                <c:pt idx="4">
                  <c:v>2016</c:v>
                </c:pt>
              </c:strCache>
            </c:strRef>
          </c:cat>
          <c:val>
            <c:numRef>
              <c:f>'Report '!$K$26:$K$31</c:f>
              <c:numCache>
                <c:formatCode>_("$"* #,##0_);_("$"* \(#,##0\);_("$"* "-"??_);_(@_)</c:formatCode>
                <c:ptCount val="5"/>
                <c:pt idx="0">
                  <c:v>3270323</c:v>
                </c:pt>
                <c:pt idx="1">
                  <c:v>3172984</c:v>
                </c:pt>
                <c:pt idx="2">
                  <c:v>3240233</c:v>
                </c:pt>
                <c:pt idx="3">
                  <c:v>3403378</c:v>
                </c:pt>
                <c:pt idx="4">
                  <c:v>303643</c:v>
                </c:pt>
              </c:numCache>
            </c:numRef>
          </c:val>
          <c:extLst>
            <c:ext xmlns:c16="http://schemas.microsoft.com/office/drawing/2014/chart" uri="{C3380CC4-5D6E-409C-BE32-E72D297353CC}">
              <c16:uniqueId val="{00000001-B9BB-4961-9CE3-2791F18B05C8}"/>
            </c:ext>
          </c:extLst>
        </c:ser>
        <c:dLbls>
          <c:dLblPos val="outEnd"/>
          <c:showLegendKey val="0"/>
          <c:showVal val="1"/>
          <c:showCatName val="0"/>
          <c:showSerName val="0"/>
          <c:showPercent val="0"/>
          <c:showBubbleSize val="0"/>
        </c:dLbls>
        <c:gapWidth val="219"/>
        <c:overlap val="-27"/>
        <c:axId val="736439304"/>
        <c:axId val="736440024"/>
      </c:barChart>
      <c:catAx>
        <c:axId val="736439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40024"/>
        <c:crosses val="autoZero"/>
        <c:auto val="1"/>
        <c:lblAlgn val="ctr"/>
        <c:lblOffset val="100"/>
        <c:noMultiLvlLbl val="0"/>
      </c:catAx>
      <c:valAx>
        <c:axId val="736440024"/>
        <c:scaling>
          <c:orientation val="minMax"/>
        </c:scaling>
        <c:delete val="1"/>
        <c:axPos val="l"/>
        <c:numFmt formatCode="_(&quot;$&quot;* #,##0_);_(&quot;$&quot;* \(#,##0\);_(&quot;$&quot;* &quot;-&quot;??_);_(@_)" sourceLinked="1"/>
        <c:majorTickMark val="none"/>
        <c:minorTickMark val="none"/>
        <c:tickLblPos val="nextTo"/>
        <c:crossAx val="736439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rnd" cmpd="sng" algn="ctr">
      <a:solidFill>
        <a:schemeClr val="tx1">
          <a:lumMod val="15000"/>
          <a:lumOff val="85000"/>
        </a:schemeClr>
      </a:solidFill>
      <a:round/>
    </a:ln>
    <a:effectLst>
      <a:glow rad="1016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[Emefo Charismary Assignment on Dashboard (version 2).xlsx]Report !PivotTable11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rPr>
              <a:t>Total Construction Spending Trends based on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43107168425683E-2"/>
          <c:y val="0.25098415916819999"/>
          <c:w val="0.94451378566314859"/>
          <c:h val="0.51194200252236"/>
        </c:manualLayout>
      </c:layout>
      <c:lineChart>
        <c:grouping val="percentStacked"/>
        <c:varyColors val="0"/>
        <c:ser>
          <c:idx val="0"/>
          <c:order val="0"/>
          <c:tx>
            <c:strRef>
              <c:f>'Report '!$D$35</c:f>
              <c:strCache>
                <c:ptCount val="1"/>
                <c:pt idx="0">
                  <c:v>private.total construction</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'Report '!$C$36:$C$41</c:f>
              <c:strCache>
                <c:ptCount val="5"/>
                <c:pt idx="0">
                  <c:v>2012</c:v>
                </c:pt>
                <c:pt idx="1">
                  <c:v>2013</c:v>
                </c:pt>
                <c:pt idx="2">
                  <c:v>2014</c:v>
                </c:pt>
                <c:pt idx="3">
                  <c:v>2015</c:v>
                </c:pt>
                <c:pt idx="4">
                  <c:v>2016</c:v>
                </c:pt>
              </c:strCache>
            </c:strRef>
          </c:cat>
          <c:val>
            <c:numRef>
              <c:f>'Report '!$D$36:$D$41</c:f>
              <c:numCache>
                <c:formatCode>_(* #,##0.00_);_(* \(#,##0.00\);_(* "-"??_);_(@_)</c:formatCode>
                <c:ptCount val="5"/>
                <c:pt idx="0">
                  <c:v>571145</c:v>
                </c:pt>
                <c:pt idx="1">
                  <c:v>635669</c:v>
                </c:pt>
                <c:pt idx="2">
                  <c:v>717713</c:v>
                </c:pt>
                <c:pt idx="3">
                  <c:v>806655</c:v>
                </c:pt>
                <c:pt idx="4">
                  <c:v>58916</c:v>
                </c:pt>
              </c:numCache>
            </c:numRef>
          </c:val>
          <c:smooth val="0"/>
          <c:extLst>
            <c:ext xmlns:c16="http://schemas.microsoft.com/office/drawing/2014/chart" uri="{C3380CC4-5D6E-409C-BE32-E72D297353CC}">
              <c16:uniqueId val="{00000000-66CC-41E7-9C27-FCFC6478C529}"/>
            </c:ext>
          </c:extLst>
        </c:ser>
        <c:ser>
          <c:idx val="1"/>
          <c:order val="1"/>
          <c:tx>
            <c:strRef>
              <c:f>'Report '!$E$35</c:f>
              <c:strCache>
                <c:ptCount val="1"/>
                <c:pt idx="0">
                  <c:v>public.total construction</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'Report '!$C$36:$C$41</c:f>
              <c:strCache>
                <c:ptCount val="5"/>
                <c:pt idx="0">
                  <c:v>2012</c:v>
                </c:pt>
                <c:pt idx="1">
                  <c:v>2013</c:v>
                </c:pt>
                <c:pt idx="2">
                  <c:v>2014</c:v>
                </c:pt>
                <c:pt idx="3">
                  <c:v>2015</c:v>
                </c:pt>
                <c:pt idx="4">
                  <c:v>2016</c:v>
                </c:pt>
              </c:strCache>
            </c:strRef>
          </c:cat>
          <c:val>
            <c:numRef>
              <c:f>'Report '!$E$36:$E$41</c:f>
              <c:numCache>
                <c:formatCode>_(* #,##0.00_);_(* \(#,##0.00\);_(* "-"??_);_(@_)</c:formatCode>
                <c:ptCount val="5"/>
                <c:pt idx="0">
                  <c:v>279313</c:v>
                </c:pt>
                <c:pt idx="1">
                  <c:v>270683</c:v>
                </c:pt>
                <c:pt idx="2">
                  <c:v>275697</c:v>
                </c:pt>
                <c:pt idx="3">
                  <c:v>291502</c:v>
                </c:pt>
                <c:pt idx="4">
                  <c:v>18669</c:v>
                </c:pt>
              </c:numCache>
            </c:numRef>
          </c:val>
          <c:smooth val="0"/>
          <c:extLst>
            <c:ext xmlns:c16="http://schemas.microsoft.com/office/drawing/2014/chart" uri="{C3380CC4-5D6E-409C-BE32-E72D297353CC}">
              <c16:uniqueId val="{00000001-66CC-41E7-9C27-FCFC6478C529}"/>
            </c:ext>
          </c:extLst>
        </c:ser>
        <c:dLbls>
          <c:showLegendKey val="0"/>
          <c:showVal val="0"/>
          <c:showCatName val="0"/>
          <c:showSerName val="0"/>
          <c:showPercent val="0"/>
          <c:showBubbleSize val="0"/>
        </c:dLbls>
        <c:marker val="1"/>
        <c:smooth val="0"/>
        <c:axId val="738312584"/>
        <c:axId val="738311504"/>
      </c:lineChart>
      <c:catAx>
        <c:axId val="738312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311504"/>
        <c:crosses val="autoZero"/>
        <c:auto val="1"/>
        <c:lblAlgn val="ctr"/>
        <c:lblOffset val="100"/>
        <c:noMultiLvlLbl val="0"/>
      </c:catAx>
      <c:valAx>
        <c:axId val="738311504"/>
        <c:scaling>
          <c:orientation val="minMax"/>
        </c:scaling>
        <c:delete val="1"/>
        <c:axPos val="l"/>
        <c:numFmt formatCode="0%" sourceLinked="1"/>
        <c:majorTickMark val="none"/>
        <c:minorTickMark val="none"/>
        <c:tickLblPos val="nextTo"/>
        <c:crossAx val="738312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glow rad="635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http://www.misecengineering.com" TargetMode="External"/><Relationship Id="rId18" Type="http://schemas.openxmlformats.org/officeDocument/2006/relationships/image" Target="../media/image12.svg"/><Relationship Id="rId3" Type="http://schemas.openxmlformats.org/officeDocument/2006/relationships/image" Target="../media/image2.svg"/><Relationship Id="rId7" Type="http://schemas.openxmlformats.org/officeDocument/2006/relationships/hyperlink" Target="#'Report '!A1"/><Relationship Id="rId12" Type="http://schemas.openxmlformats.org/officeDocument/2006/relationships/image" Target="../media/image8.svg"/><Relationship Id="rId17"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hyperlink" Target="mailto:engrcharisemefo@gmail.com" TargetMode="External"/><Relationship Id="rId1" Type="http://schemas.openxmlformats.org/officeDocument/2006/relationships/hyperlink" Target="#Overview!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Dashboard!A1"/><Relationship Id="rId4" Type="http://schemas.openxmlformats.org/officeDocument/2006/relationships/hyperlink" Target="#'Dataset '!A1"/><Relationship Id="rId9" Type="http://schemas.openxmlformats.org/officeDocument/2006/relationships/image" Target="../media/image6.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hyperlink" Target="mailto:engrcharisemefo@gmail.com" TargetMode="External"/><Relationship Id="rId13" Type="http://schemas.openxmlformats.org/officeDocument/2006/relationships/image" Target="../media/image6.svg"/><Relationship Id="rId18" Type="http://schemas.openxmlformats.org/officeDocument/2006/relationships/image" Target="../media/image3.png"/><Relationship Id="rId26" Type="http://schemas.openxmlformats.org/officeDocument/2006/relationships/chart" Target="../charts/chart4.xml"/><Relationship Id="rId3" Type="http://schemas.openxmlformats.org/officeDocument/2006/relationships/image" Target="../media/image15.png"/><Relationship Id="rId21" Type="http://schemas.openxmlformats.org/officeDocument/2006/relationships/image" Target="../media/image8.svg"/><Relationship Id="rId7" Type="http://schemas.openxmlformats.org/officeDocument/2006/relationships/image" Target="../media/image2.svg"/><Relationship Id="rId12" Type="http://schemas.openxmlformats.org/officeDocument/2006/relationships/image" Target="../media/image5.png"/><Relationship Id="rId17" Type="http://schemas.openxmlformats.org/officeDocument/2006/relationships/hyperlink" Target="#'Dataset '!A1"/><Relationship Id="rId25" Type="http://schemas.openxmlformats.org/officeDocument/2006/relationships/chart" Target="../charts/chart3.xml"/><Relationship Id="rId2" Type="http://schemas.openxmlformats.org/officeDocument/2006/relationships/image" Target="../media/image14.svg"/><Relationship Id="rId16" Type="http://schemas.openxmlformats.org/officeDocument/2006/relationships/image" Target="../media/image10.svg"/><Relationship Id="rId20" Type="http://schemas.openxmlformats.org/officeDocument/2006/relationships/image" Target="../media/image7.png"/><Relationship Id="rId1" Type="http://schemas.openxmlformats.org/officeDocument/2006/relationships/image" Target="../media/image13.png"/><Relationship Id="rId6" Type="http://schemas.openxmlformats.org/officeDocument/2006/relationships/image" Target="../media/image1.png"/><Relationship Id="rId11" Type="http://schemas.openxmlformats.org/officeDocument/2006/relationships/hyperlink" Target="#'Report '!A1"/><Relationship Id="rId24" Type="http://schemas.openxmlformats.org/officeDocument/2006/relationships/chart" Target="../charts/chart2.xml"/><Relationship Id="rId5" Type="http://schemas.openxmlformats.org/officeDocument/2006/relationships/hyperlink" Target="#Overview!A1"/><Relationship Id="rId15" Type="http://schemas.openxmlformats.org/officeDocument/2006/relationships/image" Target="../media/image9.png"/><Relationship Id="rId23" Type="http://schemas.openxmlformats.org/officeDocument/2006/relationships/chart" Target="../charts/chart1.xml"/><Relationship Id="rId10" Type="http://schemas.openxmlformats.org/officeDocument/2006/relationships/image" Target="../media/image12.svg"/><Relationship Id="rId19" Type="http://schemas.openxmlformats.org/officeDocument/2006/relationships/image" Target="../media/image4.svg"/><Relationship Id="rId4" Type="http://schemas.openxmlformats.org/officeDocument/2006/relationships/image" Target="../media/image16.svg"/><Relationship Id="rId9" Type="http://schemas.openxmlformats.org/officeDocument/2006/relationships/image" Target="../media/image11.png"/><Relationship Id="rId14" Type="http://schemas.openxmlformats.org/officeDocument/2006/relationships/hyperlink" Target="http://www.misecengineering.com" TargetMode="External"/><Relationship Id="rId22"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28575</xdr:rowOff>
    </xdr:from>
    <xdr:to>
      <xdr:col>20</xdr:col>
      <xdr:colOff>142875</xdr:colOff>
      <xdr:row>18</xdr:row>
      <xdr:rowOff>142875</xdr:rowOff>
    </xdr:to>
    <xdr:sp macro="" textlink="">
      <xdr:nvSpPr>
        <xdr:cNvPr id="2" name="Rectangle: Rounded Corners 1">
          <a:extLst>
            <a:ext uri="{FF2B5EF4-FFF2-40B4-BE49-F238E27FC236}">
              <a16:creationId xmlns:a16="http://schemas.microsoft.com/office/drawing/2014/main" id="{A0C4756E-FE0A-94E0-92A8-C4EC4F8A7B7D}"/>
            </a:ext>
          </a:extLst>
        </xdr:cNvPr>
        <xdr:cNvSpPr/>
      </xdr:nvSpPr>
      <xdr:spPr>
        <a:xfrm>
          <a:off x="85725" y="28575"/>
          <a:ext cx="12249150" cy="3543300"/>
        </a:xfrm>
        <a:prstGeom prst="roundRect">
          <a:avLst>
            <a:gd name="adj" fmla="val 87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139398</xdr:colOff>
      <xdr:row>0</xdr:row>
      <xdr:rowOff>88366</xdr:rowOff>
    </xdr:from>
    <xdr:ext cx="9893926" cy="581378"/>
    <xdr:sp macro="" textlink="">
      <xdr:nvSpPr>
        <xdr:cNvPr id="4" name="Rectangle 3">
          <a:extLst>
            <a:ext uri="{FF2B5EF4-FFF2-40B4-BE49-F238E27FC236}">
              <a16:creationId xmlns:a16="http://schemas.microsoft.com/office/drawing/2014/main" id="{D393D9E3-E0F8-2499-BBEE-5C84EAE93533}"/>
            </a:ext>
          </a:extLst>
        </xdr:cNvPr>
        <xdr:cNvSpPr/>
      </xdr:nvSpPr>
      <xdr:spPr>
        <a:xfrm>
          <a:off x="1968198" y="88366"/>
          <a:ext cx="9893926" cy="581378"/>
        </a:xfrm>
        <a:prstGeom prst="rect">
          <a:avLst/>
        </a:prstGeom>
        <a:noFill/>
      </xdr:spPr>
      <xdr:txBody>
        <a:bodyPr wrap="none" lIns="91440" tIns="45720" rIns="91440" bIns="45720">
          <a:spAutoFit/>
        </a:bodyPr>
        <a:lstStyle/>
        <a:p>
          <a:pPr algn="ctr"/>
          <a:r>
            <a:rPr lang="en-US" sz="28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Open Sans" panose="020B0606030504020204" pitchFamily="34" charset="0"/>
              <a:ea typeface="Open Sans" panose="020B0606030504020204" pitchFamily="34" charset="0"/>
              <a:cs typeface="Open Sans" panose="020B0606030504020204" pitchFamily="34" charset="0"/>
            </a:rPr>
            <a:t>COST</a:t>
          </a:r>
          <a:r>
            <a:rPr lang="en-US" sz="2800" b="1" cap="none" spc="0" baseline="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latin typeface="Open Sans" panose="020B0606030504020204" pitchFamily="34" charset="0"/>
              <a:ea typeface="Open Sans" panose="020B0606030504020204" pitchFamily="34" charset="0"/>
              <a:cs typeface="Open Sans" panose="020B0606030504020204" pitchFamily="34" charset="0"/>
            </a:rPr>
            <a:t> OF BUILDING CONSTRUCTION IN UNITED STATES </a:t>
          </a:r>
        </a:p>
      </xdr:txBody>
    </xdr:sp>
    <xdr:clientData/>
  </xdr:oneCellAnchor>
  <xdr:twoCellAnchor>
    <xdr:from>
      <xdr:col>2</xdr:col>
      <xdr:colOff>361950</xdr:colOff>
      <xdr:row>4</xdr:row>
      <xdr:rowOff>161925</xdr:rowOff>
    </xdr:from>
    <xdr:to>
      <xdr:col>19</xdr:col>
      <xdr:colOff>380999</xdr:colOff>
      <xdr:row>17</xdr:row>
      <xdr:rowOff>66675</xdr:rowOff>
    </xdr:to>
    <xdr:sp macro="" textlink="">
      <xdr:nvSpPr>
        <xdr:cNvPr id="5" name="Rectangle: Rounded Corners 4">
          <a:extLst>
            <a:ext uri="{FF2B5EF4-FFF2-40B4-BE49-F238E27FC236}">
              <a16:creationId xmlns:a16="http://schemas.microsoft.com/office/drawing/2014/main" id="{4E3D081D-9AF4-6A3A-3DF5-9031DBB9DD7B}"/>
            </a:ext>
          </a:extLst>
        </xdr:cNvPr>
        <xdr:cNvSpPr/>
      </xdr:nvSpPr>
      <xdr:spPr>
        <a:xfrm>
          <a:off x="1581150" y="923925"/>
          <a:ext cx="10382249" cy="2457450"/>
        </a:xfrm>
        <a:prstGeom prst="roundRect">
          <a:avLst/>
        </a:prstGeom>
        <a:solidFill>
          <a:schemeClr val="bg1">
            <a:lumMod val="95000"/>
          </a:schemeClr>
        </a:solidFill>
        <a:effectLst>
          <a:glow rad="101600">
            <a:schemeClr val="accent1">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60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The </a:t>
          </a:r>
          <a:r>
            <a:rPr lang="en-US" sz="1600" i="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Cost of Building Construction </a:t>
          </a:r>
          <a:r>
            <a:rPr lang="en-US" sz="160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survey provides monthly estimates of the total dollar value of construction work completed in the United States. Authorized under Title 13 of the United States Code, this program covers both private and public sector projects for residential and nonresidential buildings.</a:t>
          </a:r>
        </a:p>
        <a:p>
          <a:endParaRPr lang="en-US" sz="1600">
            <a:solidFill>
              <a:schemeClr val="accent1"/>
            </a:solidFill>
            <a:effectLst/>
            <a:latin typeface="Open Sans" panose="020B0606030504020204" pitchFamily="34" charset="0"/>
            <a:ea typeface="Open Sans" panose="020B0606030504020204" pitchFamily="34" charset="0"/>
            <a:cs typeface="Open Sans" panose="020B0606030504020204" pitchFamily="34" charset="0"/>
          </a:endParaRPr>
        </a:p>
        <a:p>
          <a:r>
            <a:rPr lang="en-US" sz="160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The estimates account for expenses such as labor, materials, architectural and engineering services, overhead, interest, taxes incurred during construction, and contractor profits. Data collection and estimation begin on the first day following the reference month, and conducted monthly since 2012 to 2016, the survey offers consistent and comprehensive insight into the nation’s construction activity.</a:t>
          </a:r>
        </a:p>
      </xdr:txBody>
    </xdr:sp>
    <xdr:clientData/>
  </xdr:twoCellAnchor>
  <xdr:twoCellAnchor>
    <xdr:from>
      <xdr:col>0</xdr:col>
      <xdr:colOff>476251</xdr:colOff>
      <xdr:row>1</xdr:row>
      <xdr:rowOff>85725</xdr:rowOff>
    </xdr:from>
    <xdr:to>
      <xdr:col>1</xdr:col>
      <xdr:colOff>590550</xdr:colOff>
      <xdr:row>17</xdr:row>
      <xdr:rowOff>66675</xdr:rowOff>
    </xdr:to>
    <xdr:sp macro="" textlink="">
      <xdr:nvSpPr>
        <xdr:cNvPr id="7" name="Rectangle: Rounded Corners 6">
          <a:extLst>
            <a:ext uri="{FF2B5EF4-FFF2-40B4-BE49-F238E27FC236}">
              <a16:creationId xmlns:a16="http://schemas.microsoft.com/office/drawing/2014/main" id="{BC3FA42A-D193-4616-BA5E-0627C806D894}"/>
            </a:ext>
          </a:extLst>
        </xdr:cNvPr>
        <xdr:cNvSpPr/>
      </xdr:nvSpPr>
      <xdr:spPr>
        <a:xfrm>
          <a:off x="476251" y="276225"/>
          <a:ext cx="723899" cy="3028950"/>
        </a:xfrm>
        <a:prstGeom prst="roundRect">
          <a:avLst>
            <a:gd name="adj" fmla="val 7763"/>
          </a:avLst>
        </a:prstGeom>
        <a:solidFill>
          <a:schemeClr val="bg1">
            <a:lumMod val="95000"/>
          </a:schemeClr>
        </a:solidFill>
        <a:ln>
          <a:solidFill>
            <a:srgbClr val="00B050"/>
          </a:solidFill>
        </a:ln>
        <a:effectLst>
          <a:glow rad="101600">
            <a:schemeClr val="accent1">
              <a:alpha val="40000"/>
            </a:schemeClr>
          </a:glow>
          <a:innerShdw blurRad="114300">
            <a:prstClr val="black">
              <a:alpha val="9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5750</xdr:colOff>
      <xdr:row>1</xdr:row>
      <xdr:rowOff>149599</xdr:rowOff>
    </xdr:from>
    <xdr:to>
      <xdr:col>1</xdr:col>
      <xdr:colOff>428625</xdr:colOff>
      <xdr:row>3</xdr:row>
      <xdr:rowOff>47625</xdr:rowOff>
    </xdr:to>
    <xdr:pic>
      <xdr:nvPicPr>
        <xdr:cNvPr id="8" name="Graphic 7" descr="Transfer with solid fill">
          <a:hlinkClick xmlns:r="http://schemas.openxmlformats.org/officeDocument/2006/relationships" r:id="rId1"/>
          <a:extLst>
            <a:ext uri="{FF2B5EF4-FFF2-40B4-BE49-F238E27FC236}">
              <a16:creationId xmlns:a16="http://schemas.microsoft.com/office/drawing/2014/main" id="{D116C728-1722-46E7-8D5B-B8BE7CE0A5D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15350" y="340099"/>
          <a:ext cx="422875" cy="279026"/>
        </a:xfrm>
        <a:prstGeom prst="rect">
          <a:avLst/>
        </a:prstGeom>
      </xdr:spPr>
    </xdr:pic>
    <xdr:clientData/>
  </xdr:twoCellAnchor>
  <xdr:twoCellAnchor editAs="oneCell">
    <xdr:from>
      <xdr:col>0</xdr:col>
      <xdr:colOff>495302</xdr:colOff>
      <xdr:row>3</xdr:row>
      <xdr:rowOff>68666</xdr:rowOff>
    </xdr:from>
    <xdr:to>
      <xdr:col>1</xdr:col>
      <xdr:colOff>466726</xdr:colOff>
      <xdr:row>4</xdr:row>
      <xdr:rowOff>180976</xdr:rowOff>
    </xdr:to>
    <xdr:pic>
      <xdr:nvPicPr>
        <xdr:cNvPr id="12" name="Graphic 11" descr="Abacus with solid fill">
          <a:hlinkClick xmlns:r="http://schemas.openxmlformats.org/officeDocument/2006/relationships" r:id="rId4"/>
          <a:extLst>
            <a:ext uri="{FF2B5EF4-FFF2-40B4-BE49-F238E27FC236}">
              <a16:creationId xmlns:a16="http://schemas.microsoft.com/office/drawing/2014/main" id="{5C153BFC-77E5-463F-A315-100A6D35D82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5302" y="640166"/>
          <a:ext cx="581024" cy="302810"/>
        </a:xfrm>
        <a:prstGeom prst="rect">
          <a:avLst/>
        </a:prstGeom>
      </xdr:spPr>
    </xdr:pic>
    <xdr:clientData/>
  </xdr:twoCellAnchor>
  <xdr:twoCellAnchor editAs="oneCell">
    <xdr:from>
      <xdr:col>0</xdr:col>
      <xdr:colOff>581025</xdr:colOff>
      <xdr:row>5</xdr:row>
      <xdr:rowOff>67752</xdr:rowOff>
    </xdr:from>
    <xdr:to>
      <xdr:col>1</xdr:col>
      <xdr:colOff>419101</xdr:colOff>
      <xdr:row>6</xdr:row>
      <xdr:rowOff>161926</xdr:rowOff>
    </xdr:to>
    <xdr:pic>
      <xdr:nvPicPr>
        <xdr:cNvPr id="16" name="Graphic 15" descr="Bar chart with solid fill">
          <a:hlinkClick xmlns:r="http://schemas.openxmlformats.org/officeDocument/2006/relationships" r:id="rId7"/>
          <a:extLst>
            <a:ext uri="{FF2B5EF4-FFF2-40B4-BE49-F238E27FC236}">
              <a16:creationId xmlns:a16="http://schemas.microsoft.com/office/drawing/2014/main" id="{3FFC4339-CB08-499B-85FE-EB4BB57E706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81025" y="1020252"/>
          <a:ext cx="447676" cy="284674"/>
        </a:xfrm>
        <a:prstGeom prst="rect">
          <a:avLst/>
        </a:prstGeom>
      </xdr:spPr>
    </xdr:pic>
    <xdr:clientData/>
  </xdr:twoCellAnchor>
  <xdr:twoCellAnchor editAs="oneCell">
    <xdr:from>
      <xdr:col>1</xdr:col>
      <xdr:colOff>19049</xdr:colOff>
      <xdr:row>7</xdr:row>
      <xdr:rowOff>95250</xdr:rowOff>
    </xdr:from>
    <xdr:to>
      <xdr:col>1</xdr:col>
      <xdr:colOff>371474</xdr:colOff>
      <xdr:row>9</xdr:row>
      <xdr:rowOff>19050</xdr:rowOff>
    </xdr:to>
    <xdr:pic>
      <xdr:nvPicPr>
        <xdr:cNvPr id="18" name="Graphic 17" descr="Blockchain outline">
          <a:hlinkClick xmlns:r="http://schemas.openxmlformats.org/officeDocument/2006/relationships" r:id="rId10"/>
          <a:extLst>
            <a:ext uri="{FF2B5EF4-FFF2-40B4-BE49-F238E27FC236}">
              <a16:creationId xmlns:a16="http://schemas.microsoft.com/office/drawing/2014/main" id="{4FB7BDCF-C167-47C3-B3C9-C420D3EF808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28649" y="1428750"/>
          <a:ext cx="352425" cy="304800"/>
        </a:xfrm>
        <a:prstGeom prst="rect">
          <a:avLst/>
        </a:prstGeom>
      </xdr:spPr>
    </xdr:pic>
    <xdr:clientData/>
  </xdr:twoCellAnchor>
  <xdr:twoCellAnchor editAs="oneCell">
    <xdr:from>
      <xdr:col>0</xdr:col>
      <xdr:colOff>590550</xdr:colOff>
      <xdr:row>13</xdr:row>
      <xdr:rowOff>0</xdr:rowOff>
    </xdr:from>
    <xdr:to>
      <xdr:col>1</xdr:col>
      <xdr:colOff>333375</xdr:colOff>
      <xdr:row>14</xdr:row>
      <xdr:rowOff>133350</xdr:rowOff>
    </xdr:to>
    <xdr:pic>
      <xdr:nvPicPr>
        <xdr:cNvPr id="20" name="Graphic 19" descr="World with solid fill">
          <a:hlinkClick xmlns:r="http://schemas.openxmlformats.org/officeDocument/2006/relationships" r:id="rId13"/>
          <a:extLst>
            <a:ext uri="{FF2B5EF4-FFF2-40B4-BE49-F238E27FC236}">
              <a16:creationId xmlns:a16="http://schemas.microsoft.com/office/drawing/2014/main" id="{6BD53342-474F-4E7C-A611-4B05DE6618B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90550" y="2476500"/>
          <a:ext cx="352425" cy="323850"/>
        </a:xfrm>
        <a:prstGeom prst="rect">
          <a:avLst/>
        </a:prstGeom>
      </xdr:spPr>
    </xdr:pic>
    <xdr:clientData/>
  </xdr:twoCellAnchor>
  <xdr:twoCellAnchor editAs="oneCell">
    <xdr:from>
      <xdr:col>1</xdr:col>
      <xdr:colOff>19050</xdr:colOff>
      <xdr:row>15</xdr:row>
      <xdr:rowOff>28575</xdr:rowOff>
    </xdr:from>
    <xdr:to>
      <xdr:col>1</xdr:col>
      <xdr:colOff>371475</xdr:colOff>
      <xdr:row>16</xdr:row>
      <xdr:rowOff>133350</xdr:rowOff>
    </xdr:to>
    <xdr:pic>
      <xdr:nvPicPr>
        <xdr:cNvPr id="22" name="Graphic 21" descr="Email with solid fill">
          <a:hlinkClick xmlns:r="http://schemas.openxmlformats.org/officeDocument/2006/relationships" r:id="rId16"/>
          <a:extLst>
            <a:ext uri="{FF2B5EF4-FFF2-40B4-BE49-F238E27FC236}">
              <a16:creationId xmlns:a16="http://schemas.microsoft.com/office/drawing/2014/main" id="{0FBBA6AA-48D1-4D88-8796-923DC4B56CC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a:xfrm>
          <a:off x="628650" y="2886075"/>
          <a:ext cx="352425" cy="295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452455</xdr:colOff>
      <xdr:row>1</xdr:row>
      <xdr:rowOff>77277</xdr:rowOff>
    </xdr:from>
    <xdr:to>
      <xdr:col>25</xdr:col>
      <xdr:colOff>0</xdr:colOff>
      <xdr:row>44</xdr:row>
      <xdr:rowOff>88483</xdr:rowOff>
    </xdr:to>
    <xdr:sp macro="" textlink="">
      <xdr:nvSpPr>
        <xdr:cNvPr id="2" name="Rectangle: Rounded Corners 1">
          <a:extLst>
            <a:ext uri="{FF2B5EF4-FFF2-40B4-BE49-F238E27FC236}">
              <a16:creationId xmlns:a16="http://schemas.microsoft.com/office/drawing/2014/main" id="{6EE88E93-FBDA-5F0B-64CE-69107C6ADB67}"/>
            </a:ext>
          </a:extLst>
        </xdr:cNvPr>
        <xdr:cNvSpPr/>
      </xdr:nvSpPr>
      <xdr:spPr>
        <a:xfrm>
          <a:off x="452455" y="262829"/>
          <a:ext cx="14700954" cy="7989940"/>
        </a:xfrm>
        <a:prstGeom prst="roundRect">
          <a:avLst>
            <a:gd name="adj" fmla="val 3331"/>
          </a:avLst>
        </a:prstGeom>
        <a:solidFill>
          <a:schemeClr val="bg1"/>
        </a:solidFill>
        <a:ln>
          <a:noFill/>
        </a:ln>
        <a:effectLst>
          <a:glow rad="63500">
            <a:schemeClr val="accent1">
              <a:alpha val="40000"/>
            </a:schemeClr>
          </a:glow>
          <a:outerShdw blurRad="50800" dist="38100" dir="2700000" algn="tl" rotWithShape="0">
            <a:schemeClr val="bg1">
              <a:lumMod val="8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2</xdr:col>
      <xdr:colOff>277903</xdr:colOff>
      <xdr:row>15</xdr:row>
      <xdr:rowOff>112058</xdr:rowOff>
    </xdr:from>
    <xdr:to>
      <xdr:col>11</xdr:col>
      <xdr:colOff>8961</xdr:colOff>
      <xdr:row>27</xdr:row>
      <xdr:rowOff>89647</xdr:rowOff>
    </xdr:to>
    <xdr:sp macro="" textlink="">
      <xdr:nvSpPr>
        <xdr:cNvPr id="8" name="Rectangle: Rounded Corners 7">
          <a:extLst>
            <a:ext uri="{FF2B5EF4-FFF2-40B4-BE49-F238E27FC236}">
              <a16:creationId xmlns:a16="http://schemas.microsoft.com/office/drawing/2014/main" id="{69BD5419-1DB0-A532-28FF-39696B4E24A7}"/>
            </a:ext>
          </a:extLst>
        </xdr:cNvPr>
        <xdr:cNvSpPr/>
      </xdr:nvSpPr>
      <xdr:spPr>
        <a:xfrm>
          <a:off x="1497103" y="2969558"/>
          <a:ext cx="5217458" cy="2263589"/>
        </a:xfrm>
        <a:prstGeom prst="roundRect">
          <a:avLst>
            <a:gd name="adj" fmla="val 4786"/>
          </a:avLst>
        </a:prstGeom>
        <a:solidFill>
          <a:schemeClr val="bg1">
            <a:lumMod val="95000"/>
          </a:schemeClr>
        </a:solidFill>
        <a:effectLst>
          <a:innerShdw blurRad="114300">
            <a:prstClr val="black">
              <a:alpha val="9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260238</xdr:colOff>
      <xdr:row>2</xdr:row>
      <xdr:rowOff>29814</xdr:rowOff>
    </xdr:from>
    <xdr:ext cx="10095584" cy="581378"/>
    <xdr:sp macro="" textlink="">
      <xdr:nvSpPr>
        <xdr:cNvPr id="16" name="Rectangle 15">
          <a:extLst>
            <a:ext uri="{FF2B5EF4-FFF2-40B4-BE49-F238E27FC236}">
              <a16:creationId xmlns:a16="http://schemas.microsoft.com/office/drawing/2014/main" id="{71966A90-5B58-B381-719D-0FD1733B344A}"/>
            </a:ext>
          </a:extLst>
        </xdr:cNvPr>
        <xdr:cNvSpPr/>
      </xdr:nvSpPr>
      <xdr:spPr>
        <a:xfrm>
          <a:off x="2684783" y="400918"/>
          <a:ext cx="10095584" cy="581378"/>
        </a:xfrm>
        <a:prstGeom prst="rect">
          <a:avLst/>
        </a:prstGeom>
        <a:noFill/>
      </xdr:spPr>
      <xdr:txBody>
        <a:bodyPr wrap="none" lIns="91440" tIns="45720" rIns="91440" bIns="45720">
          <a:spAutoFit/>
        </a:bodyPr>
        <a:lstStyle/>
        <a:p>
          <a:pPr algn="ctr"/>
          <a:r>
            <a:rPr lang="en-US" sz="2800" b="1" cap="none" spc="50" baseline="0">
              <a:ln w="0"/>
              <a:solidFill>
                <a:schemeClr val="accent1"/>
              </a:solidFill>
              <a:effectLst>
                <a:innerShdw blurRad="63500" dist="50800" dir="13500000">
                  <a:srgbClr val="000000">
                    <a:alpha val="50000"/>
                  </a:srgbClr>
                </a:innerShdw>
              </a:effectLst>
              <a:latin typeface="OPEN SANS" panose="020F0502020204030204" pitchFamily="34" charset="0"/>
              <a:ea typeface="OPEN SANS" panose="020F0502020204030204" pitchFamily="34" charset="0"/>
              <a:cs typeface="OPEN SANS" panose="020F0502020204030204" pitchFamily="34" charset="0"/>
            </a:rPr>
            <a:t>COST OF BUILDING CONSTRUCTION IN UNITED STATES</a:t>
          </a:r>
          <a:endParaRPr lang="en-US" sz="2800" b="1" cap="none" spc="50">
            <a:ln w="0"/>
            <a:solidFill>
              <a:schemeClr val="accent1"/>
            </a:solidFill>
            <a:effectLst>
              <a:innerShdw blurRad="63500" dist="50800" dir="13500000">
                <a:srgbClr val="000000">
                  <a:alpha val="50000"/>
                </a:srgbClr>
              </a:innerShdw>
            </a:effectLst>
            <a:latin typeface="OPEN SANS" panose="020F0502020204030204" pitchFamily="34" charset="0"/>
            <a:ea typeface="OPEN SANS" panose="020F0502020204030204" pitchFamily="34" charset="0"/>
            <a:cs typeface="OPEN SANS" panose="020F0502020204030204" pitchFamily="34" charset="0"/>
          </a:endParaRPr>
        </a:p>
      </xdr:txBody>
    </xdr:sp>
    <xdr:clientData/>
  </xdr:oneCellAnchor>
  <xdr:oneCellAnchor>
    <xdr:from>
      <xdr:col>12</xdr:col>
      <xdr:colOff>47707</xdr:colOff>
      <xdr:row>9</xdr:row>
      <xdr:rowOff>97050</xdr:rowOff>
    </xdr:from>
    <xdr:ext cx="184731" cy="937693"/>
    <xdr:sp macro="" textlink="">
      <xdr:nvSpPr>
        <xdr:cNvPr id="19" name="Rectangle 18">
          <a:extLst>
            <a:ext uri="{FF2B5EF4-FFF2-40B4-BE49-F238E27FC236}">
              <a16:creationId xmlns:a16="http://schemas.microsoft.com/office/drawing/2014/main" id="{55C28249-06B0-ACF0-65F5-BEBB1A47C059}"/>
            </a:ext>
          </a:extLst>
        </xdr:cNvPr>
        <xdr:cNvSpPr/>
      </xdr:nvSpPr>
      <xdr:spPr>
        <a:xfrm>
          <a:off x="7309119" y="1811550"/>
          <a:ext cx="184731" cy="937693"/>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11</xdr:col>
      <xdr:colOff>242608</xdr:colOff>
      <xdr:row>15</xdr:row>
      <xdr:rowOff>112058</xdr:rowOff>
    </xdr:from>
    <xdr:to>
      <xdr:col>19</xdr:col>
      <xdr:colOff>578784</xdr:colOff>
      <xdr:row>27</xdr:row>
      <xdr:rowOff>89647</xdr:rowOff>
    </xdr:to>
    <xdr:sp macro="" textlink="">
      <xdr:nvSpPr>
        <xdr:cNvPr id="5" name="Rectangle: Rounded Corners 4">
          <a:extLst>
            <a:ext uri="{FF2B5EF4-FFF2-40B4-BE49-F238E27FC236}">
              <a16:creationId xmlns:a16="http://schemas.microsoft.com/office/drawing/2014/main" id="{835317BD-2BE7-B042-8200-20CD5F9480B7}"/>
            </a:ext>
          </a:extLst>
        </xdr:cNvPr>
        <xdr:cNvSpPr/>
      </xdr:nvSpPr>
      <xdr:spPr>
        <a:xfrm>
          <a:off x="6948208" y="2969558"/>
          <a:ext cx="5212976" cy="2263589"/>
        </a:xfrm>
        <a:prstGeom prst="roundRect">
          <a:avLst>
            <a:gd name="adj" fmla="val 4786"/>
          </a:avLst>
        </a:prstGeom>
        <a:solidFill>
          <a:schemeClr val="bg1">
            <a:lumMod val="95000"/>
          </a:schemeClr>
        </a:solidFill>
        <a:effectLst>
          <a:innerShdw blurRad="114300">
            <a:prstClr val="black">
              <a:alpha val="9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242608</xdr:colOff>
      <xdr:row>28</xdr:row>
      <xdr:rowOff>143433</xdr:rowOff>
    </xdr:from>
    <xdr:to>
      <xdr:col>19</xdr:col>
      <xdr:colOff>578784</xdr:colOff>
      <xdr:row>40</xdr:row>
      <xdr:rowOff>121022</xdr:rowOff>
    </xdr:to>
    <xdr:sp macro="" textlink="">
      <xdr:nvSpPr>
        <xdr:cNvPr id="6" name="Rectangle: Rounded Corners 5">
          <a:extLst>
            <a:ext uri="{FF2B5EF4-FFF2-40B4-BE49-F238E27FC236}">
              <a16:creationId xmlns:a16="http://schemas.microsoft.com/office/drawing/2014/main" id="{C4A9640F-29DA-B938-F03C-4C9C6E6D8777}"/>
            </a:ext>
          </a:extLst>
        </xdr:cNvPr>
        <xdr:cNvSpPr/>
      </xdr:nvSpPr>
      <xdr:spPr>
        <a:xfrm>
          <a:off x="6948208" y="5477433"/>
          <a:ext cx="5212976" cy="2263589"/>
        </a:xfrm>
        <a:prstGeom prst="roundRect">
          <a:avLst>
            <a:gd name="adj" fmla="val 4786"/>
          </a:avLst>
        </a:prstGeom>
        <a:solidFill>
          <a:schemeClr val="bg1">
            <a:lumMod val="95000"/>
          </a:schemeClr>
        </a:solidFill>
        <a:effectLst>
          <a:innerShdw blurRad="114300">
            <a:prstClr val="black">
              <a:alpha val="9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277903</xdr:colOff>
      <xdr:row>28</xdr:row>
      <xdr:rowOff>143433</xdr:rowOff>
    </xdr:from>
    <xdr:to>
      <xdr:col>11</xdr:col>
      <xdr:colOff>8961</xdr:colOff>
      <xdr:row>40</xdr:row>
      <xdr:rowOff>121022</xdr:rowOff>
    </xdr:to>
    <xdr:sp macro="" textlink="">
      <xdr:nvSpPr>
        <xdr:cNvPr id="9" name="Rectangle: Rounded Corners 8">
          <a:extLst>
            <a:ext uri="{FF2B5EF4-FFF2-40B4-BE49-F238E27FC236}">
              <a16:creationId xmlns:a16="http://schemas.microsoft.com/office/drawing/2014/main" id="{857C4FA4-AAAF-F8AE-1AE1-59DA937F1B03}"/>
            </a:ext>
          </a:extLst>
        </xdr:cNvPr>
        <xdr:cNvSpPr/>
      </xdr:nvSpPr>
      <xdr:spPr>
        <a:xfrm>
          <a:off x="1497103" y="5477433"/>
          <a:ext cx="5217458" cy="2263589"/>
        </a:xfrm>
        <a:prstGeom prst="roundRect">
          <a:avLst>
            <a:gd name="adj" fmla="val 4786"/>
          </a:avLst>
        </a:prstGeom>
        <a:solidFill>
          <a:schemeClr val="bg1">
            <a:lumMod val="95000"/>
          </a:schemeClr>
        </a:solidFill>
        <a:effectLst>
          <a:innerShdw blurRad="114300">
            <a:prstClr val="black">
              <a:alpha val="9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246529</xdr:colOff>
      <xdr:row>6</xdr:row>
      <xdr:rowOff>122501</xdr:rowOff>
    </xdr:from>
    <xdr:to>
      <xdr:col>24</xdr:col>
      <xdr:colOff>47945</xdr:colOff>
      <xdr:row>40</xdr:row>
      <xdr:rowOff>77678</xdr:rowOff>
    </xdr:to>
    <xdr:sp macro="" textlink="">
      <xdr:nvSpPr>
        <xdr:cNvPr id="12" name="Rectangle: Rounded Corners 11">
          <a:extLst>
            <a:ext uri="{FF2B5EF4-FFF2-40B4-BE49-F238E27FC236}">
              <a16:creationId xmlns:a16="http://schemas.microsoft.com/office/drawing/2014/main" id="{44F8B00A-263F-1A70-FFDC-C907A2BC2FA3}"/>
            </a:ext>
          </a:extLst>
        </xdr:cNvPr>
        <xdr:cNvSpPr/>
      </xdr:nvSpPr>
      <xdr:spPr>
        <a:xfrm>
          <a:off x="12369256" y="1235813"/>
          <a:ext cx="2225962" cy="6263943"/>
        </a:xfrm>
        <a:prstGeom prst="roundRect">
          <a:avLst>
            <a:gd name="adj" fmla="val 7763"/>
          </a:avLst>
        </a:prstGeom>
        <a:solidFill>
          <a:schemeClr val="bg1">
            <a:lumMod val="95000"/>
          </a:schemeClr>
        </a:solidFill>
        <a:effectLst>
          <a:innerShdw blurRad="114300">
            <a:prstClr val="black">
              <a:alpha val="9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42606</xdr:colOff>
      <xdr:row>6</xdr:row>
      <xdr:rowOff>122501</xdr:rowOff>
    </xdr:from>
    <xdr:to>
      <xdr:col>2</xdr:col>
      <xdr:colOff>165872</xdr:colOff>
      <xdr:row>40</xdr:row>
      <xdr:rowOff>46154</xdr:rowOff>
    </xdr:to>
    <xdr:sp macro="" textlink="">
      <xdr:nvSpPr>
        <xdr:cNvPr id="37" name="Rectangle: Rounded Corners 36">
          <a:extLst>
            <a:ext uri="{FF2B5EF4-FFF2-40B4-BE49-F238E27FC236}">
              <a16:creationId xmlns:a16="http://schemas.microsoft.com/office/drawing/2014/main" id="{927CE947-EF4D-9BA4-D57F-A2F46C6553AC}"/>
            </a:ext>
          </a:extLst>
        </xdr:cNvPr>
        <xdr:cNvSpPr/>
      </xdr:nvSpPr>
      <xdr:spPr>
        <a:xfrm>
          <a:off x="649694" y="1252941"/>
          <a:ext cx="730354" cy="6329477"/>
        </a:xfrm>
        <a:prstGeom prst="roundRect">
          <a:avLst>
            <a:gd name="adj" fmla="val 7763"/>
          </a:avLst>
        </a:prstGeom>
        <a:solidFill>
          <a:schemeClr val="bg1">
            <a:lumMod val="95000"/>
          </a:schemeClr>
        </a:solidFill>
        <a:effectLst>
          <a:innerShdw blurRad="114300">
            <a:prstClr val="black">
              <a:alpha val="9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277903</xdr:colOff>
      <xdr:row>6</xdr:row>
      <xdr:rowOff>122501</xdr:rowOff>
    </xdr:from>
    <xdr:to>
      <xdr:col>6</xdr:col>
      <xdr:colOff>277902</xdr:colOff>
      <xdr:row>14</xdr:row>
      <xdr:rowOff>84401</xdr:rowOff>
    </xdr:to>
    <xdr:grpSp>
      <xdr:nvGrpSpPr>
        <xdr:cNvPr id="116" name="Group 115">
          <a:extLst>
            <a:ext uri="{FF2B5EF4-FFF2-40B4-BE49-F238E27FC236}">
              <a16:creationId xmlns:a16="http://schemas.microsoft.com/office/drawing/2014/main" id="{E7BFF6F5-9840-00DE-09D1-844A07E72AB4}"/>
            </a:ext>
          </a:extLst>
        </xdr:cNvPr>
        <xdr:cNvGrpSpPr/>
      </xdr:nvGrpSpPr>
      <xdr:grpSpPr>
        <a:xfrm>
          <a:off x="1490176" y="1235813"/>
          <a:ext cx="2424544" cy="1446315"/>
          <a:chOff x="1490176" y="1235813"/>
          <a:chExt cx="2424544" cy="1446315"/>
        </a:xfrm>
      </xdr:grpSpPr>
      <xdr:sp macro="" textlink="">
        <xdr:nvSpPr>
          <xdr:cNvPr id="3" name="Rectangle: Rounded Corners 2">
            <a:extLst>
              <a:ext uri="{FF2B5EF4-FFF2-40B4-BE49-F238E27FC236}">
                <a16:creationId xmlns:a16="http://schemas.microsoft.com/office/drawing/2014/main" id="{8B3AF44A-1EF0-4B1A-C940-856D9284C711}"/>
              </a:ext>
            </a:extLst>
          </xdr:cNvPr>
          <xdr:cNvSpPr/>
        </xdr:nvSpPr>
        <xdr:spPr>
          <a:xfrm>
            <a:off x="1490176" y="1235813"/>
            <a:ext cx="2424544" cy="1446315"/>
          </a:xfrm>
          <a:prstGeom prst="roundRect">
            <a:avLst/>
          </a:prstGeom>
          <a:solidFill>
            <a:schemeClr val="bg1">
              <a:lumMod val="95000"/>
            </a:schemeClr>
          </a:solidFill>
          <a:effectLst>
            <a:innerShdw blurRad="114300">
              <a:prstClr val="black">
                <a:alpha val="9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CAE18AC8-2D4C-0A4A-3900-F36C52FD6421}"/>
              </a:ext>
            </a:extLst>
          </xdr:cNvPr>
          <xdr:cNvSpPr txBox="1"/>
        </xdr:nvSpPr>
        <xdr:spPr>
          <a:xfrm>
            <a:off x="1609334" y="1705647"/>
            <a:ext cx="2151550" cy="29579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ctr"/>
            <a:r>
              <a:rPr lang="en-US" sz="1400" b="1">
                <a:latin typeface="Open Sans" panose="020B0606030504020204" pitchFamily="34" charset="0"/>
                <a:ea typeface="Open Sans" panose="020B0606030504020204" pitchFamily="34" charset="0"/>
                <a:cs typeface="Open Sans" panose="020B0606030504020204" pitchFamily="34" charset="0"/>
              </a:rPr>
              <a:t>Private Residential</a:t>
            </a:r>
          </a:p>
        </xdr:txBody>
      </xdr:sp>
      <xdr:sp macro="" textlink="'Report '!C5">
        <xdr:nvSpPr>
          <xdr:cNvPr id="21" name="TextBox 20">
            <a:extLst>
              <a:ext uri="{FF2B5EF4-FFF2-40B4-BE49-F238E27FC236}">
                <a16:creationId xmlns:a16="http://schemas.microsoft.com/office/drawing/2014/main" id="{8A7531F7-5DA8-C4AA-6CB8-45341E2A013B}"/>
              </a:ext>
            </a:extLst>
          </xdr:cNvPr>
          <xdr:cNvSpPr txBox="1"/>
        </xdr:nvSpPr>
        <xdr:spPr>
          <a:xfrm>
            <a:off x="1785549" y="1940768"/>
            <a:ext cx="1639397" cy="52334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297540-D76A-4AA8-8D59-AF91C660CC8F}" type="TxLink">
              <a:rPr lang="en-US" sz="1800" b="1" i="0" u="none" strike="noStrike">
                <a:solidFill>
                  <a:srgbClr val="000000"/>
                </a:solidFill>
                <a:latin typeface="Open Sans" panose="020B0606030504020204" pitchFamily="34" charset="0"/>
                <a:ea typeface="Open Sans" panose="020B0606030504020204" pitchFamily="34" charset="0"/>
                <a:cs typeface="Open Sans" panose="020B0606030504020204" pitchFamily="34" charset="0"/>
              </a:rPr>
              <a:pPr algn="ctr"/>
              <a:t> $29,125 </a:t>
            </a:fld>
            <a:endParaRPr lang="en-US" sz="44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xdr:txBody>
      </xdr:sp>
      <xdr:pic>
        <xdr:nvPicPr>
          <xdr:cNvPr id="40" name="Graphic 39" descr="Home with solid fill">
            <a:extLst>
              <a:ext uri="{FF2B5EF4-FFF2-40B4-BE49-F238E27FC236}">
                <a16:creationId xmlns:a16="http://schemas.microsoft.com/office/drawing/2014/main" id="{F80AC60C-E91C-F0EE-A917-84E68C6A48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5432" y="1269780"/>
            <a:ext cx="496036" cy="487291"/>
          </a:xfrm>
          <a:prstGeom prst="rect">
            <a:avLst/>
          </a:prstGeom>
        </xdr:spPr>
      </xdr:pic>
    </xdr:grpSp>
    <xdr:clientData/>
  </xdr:twoCellAnchor>
  <xdr:twoCellAnchor>
    <xdr:from>
      <xdr:col>6</xdr:col>
      <xdr:colOff>566375</xdr:colOff>
      <xdr:row>6</xdr:row>
      <xdr:rowOff>122501</xdr:rowOff>
    </xdr:from>
    <xdr:to>
      <xdr:col>10</xdr:col>
      <xdr:colOff>566373</xdr:colOff>
      <xdr:row>14</xdr:row>
      <xdr:rowOff>84401</xdr:rowOff>
    </xdr:to>
    <xdr:grpSp>
      <xdr:nvGrpSpPr>
        <xdr:cNvPr id="117" name="Group 116">
          <a:extLst>
            <a:ext uri="{FF2B5EF4-FFF2-40B4-BE49-F238E27FC236}">
              <a16:creationId xmlns:a16="http://schemas.microsoft.com/office/drawing/2014/main" id="{8C1B5AAD-3882-0E89-9AB1-2AB32843C34A}"/>
            </a:ext>
          </a:extLst>
        </xdr:cNvPr>
        <xdr:cNvGrpSpPr/>
      </xdr:nvGrpSpPr>
      <xdr:grpSpPr>
        <a:xfrm>
          <a:off x="4203193" y="1235813"/>
          <a:ext cx="2424544" cy="1446315"/>
          <a:chOff x="4203193" y="1235813"/>
          <a:chExt cx="2424544" cy="1446315"/>
        </a:xfrm>
      </xdr:grpSpPr>
      <xdr:sp macro="" textlink="">
        <xdr:nvSpPr>
          <xdr:cNvPr id="78" name="Rectangle: Rounded Corners 77">
            <a:extLst>
              <a:ext uri="{FF2B5EF4-FFF2-40B4-BE49-F238E27FC236}">
                <a16:creationId xmlns:a16="http://schemas.microsoft.com/office/drawing/2014/main" id="{86973156-5AFD-0E9F-C981-3E50F8503FD2}"/>
              </a:ext>
            </a:extLst>
          </xdr:cNvPr>
          <xdr:cNvSpPr/>
        </xdr:nvSpPr>
        <xdr:spPr>
          <a:xfrm>
            <a:off x="4203193" y="1235813"/>
            <a:ext cx="2424544" cy="1446315"/>
          </a:xfrm>
          <a:prstGeom prst="roundRect">
            <a:avLst/>
          </a:prstGeom>
          <a:solidFill>
            <a:schemeClr val="bg1">
              <a:lumMod val="95000"/>
            </a:schemeClr>
          </a:solidFill>
          <a:effectLst>
            <a:innerShdw blurRad="114300">
              <a:prstClr val="black">
                <a:alpha val="9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9" name="TextBox 78">
            <a:extLst>
              <a:ext uri="{FF2B5EF4-FFF2-40B4-BE49-F238E27FC236}">
                <a16:creationId xmlns:a16="http://schemas.microsoft.com/office/drawing/2014/main" id="{FD33EF4E-86A7-9C9D-0B45-8577769B2CCA}"/>
              </a:ext>
            </a:extLst>
          </xdr:cNvPr>
          <xdr:cNvSpPr txBox="1"/>
        </xdr:nvSpPr>
        <xdr:spPr>
          <a:xfrm>
            <a:off x="4322351" y="1718018"/>
            <a:ext cx="2246188" cy="26120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ctr"/>
            <a:r>
              <a:rPr lang="en-US" sz="1400" b="1">
                <a:latin typeface="Open Sans" panose="020B0606030504020204" pitchFamily="34" charset="0"/>
                <a:ea typeface="Open Sans" panose="020B0606030504020204" pitchFamily="34" charset="0"/>
                <a:cs typeface="Open Sans" panose="020B0606030504020204" pitchFamily="34" charset="0"/>
              </a:rPr>
              <a:t>Private Nonresidential</a:t>
            </a:r>
          </a:p>
        </xdr:txBody>
      </xdr:sp>
      <xdr:sp macro="" textlink="'Report '!A5">
        <xdr:nvSpPr>
          <xdr:cNvPr id="80" name="TextBox 79">
            <a:extLst>
              <a:ext uri="{FF2B5EF4-FFF2-40B4-BE49-F238E27FC236}">
                <a16:creationId xmlns:a16="http://schemas.microsoft.com/office/drawing/2014/main" id="{E14FB3E6-0520-59E0-6C10-BC5E2B53D0A0}"/>
              </a:ext>
            </a:extLst>
          </xdr:cNvPr>
          <xdr:cNvSpPr txBox="1"/>
        </xdr:nvSpPr>
        <xdr:spPr>
          <a:xfrm>
            <a:off x="4498566" y="1940768"/>
            <a:ext cx="1639397" cy="52334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261A5E-967E-490A-82B5-30AEABEA4380}" type="TxLink">
              <a:rPr lang="en-US" sz="1800" b="1" i="0" u="none" strike="noStrike">
                <a:solidFill>
                  <a:srgbClr val="000000"/>
                </a:solidFill>
                <a:latin typeface="Open Sans" panose="020B0606030504020204" pitchFamily="34" charset="0"/>
                <a:ea typeface="Open Sans" panose="020B0606030504020204" pitchFamily="34" charset="0"/>
                <a:cs typeface="Open Sans" panose="020B0606030504020204" pitchFamily="34" charset="0"/>
              </a:rPr>
              <a:pPr algn="ctr"/>
              <a:t> $29,791 </a:t>
            </a:fld>
            <a:endParaRPr lang="en-US" sz="66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xdr:txBody>
      </xdr:sp>
      <xdr:pic>
        <xdr:nvPicPr>
          <xdr:cNvPr id="81" name="Graphic 80" descr="City with solid fill">
            <a:extLst>
              <a:ext uri="{FF2B5EF4-FFF2-40B4-BE49-F238E27FC236}">
                <a16:creationId xmlns:a16="http://schemas.microsoft.com/office/drawing/2014/main" id="{B1CF7B34-E906-4D9C-AEAB-3F78B875F6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149363" y="1269780"/>
            <a:ext cx="494209" cy="487291"/>
          </a:xfrm>
          <a:prstGeom prst="rect">
            <a:avLst/>
          </a:prstGeom>
        </xdr:spPr>
      </xdr:pic>
    </xdr:grpSp>
    <xdr:clientData/>
  </xdr:twoCellAnchor>
  <xdr:twoCellAnchor>
    <xdr:from>
      <xdr:col>11</xdr:col>
      <xdr:colOff>247758</xdr:colOff>
      <xdr:row>6</xdr:row>
      <xdr:rowOff>122501</xdr:rowOff>
    </xdr:from>
    <xdr:to>
      <xdr:col>15</xdr:col>
      <xdr:colOff>247756</xdr:colOff>
      <xdr:row>14</xdr:row>
      <xdr:rowOff>84401</xdr:rowOff>
    </xdr:to>
    <xdr:sp macro="" textlink="">
      <xdr:nvSpPr>
        <xdr:cNvPr id="83" name="Rectangle: Rounded Corners 82">
          <a:extLst>
            <a:ext uri="{FF2B5EF4-FFF2-40B4-BE49-F238E27FC236}">
              <a16:creationId xmlns:a16="http://schemas.microsoft.com/office/drawing/2014/main" id="{AB37F951-B2A7-CE70-DC59-9ACF0DDDF8B0}"/>
            </a:ext>
          </a:extLst>
        </xdr:cNvPr>
        <xdr:cNvSpPr/>
      </xdr:nvSpPr>
      <xdr:spPr>
        <a:xfrm>
          <a:off x="6915258" y="1235813"/>
          <a:ext cx="2424543" cy="1446315"/>
        </a:xfrm>
        <a:prstGeom prst="roundRect">
          <a:avLst/>
        </a:prstGeom>
        <a:solidFill>
          <a:schemeClr val="bg1">
            <a:lumMod val="95000"/>
          </a:schemeClr>
        </a:solidFill>
        <a:effectLst>
          <a:innerShdw blurRad="114300">
            <a:prstClr val="black">
              <a:alpha val="9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366916</xdr:colOff>
      <xdr:row>9</xdr:row>
      <xdr:rowOff>35679</xdr:rowOff>
    </xdr:from>
    <xdr:to>
      <xdr:col>15</xdr:col>
      <xdr:colOff>93920</xdr:colOff>
      <xdr:row>10</xdr:row>
      <xdr:rowOff>145923</xdr:rowOff>
    </xdr:to>
    <xdr:sp macro="" textlink="">
      <xdr:nvSpPr>
        <xdr:cNvPr id="84" name="TextBox 83">
          <a:extLst>
            <a:ext uri="{FF2B5EF4-FFF2-40B4-BE49-F238E27FC236}">
              <a16:creationId xmlns:a16="http://schemas.microsoft.com/office/drawing/2014/main" id="{1873DA2D-AC16-9392-96AE-B0668F13CEC2}"/>
            </a:ext>
          </a:extLst>
        </xdr:cNvPr>
        <xdr:cNvSpPr txBox="1"/>
      </xdr:nvSpPr>
      <xdr:spPr>
        <a:xfrm>
          <a:off x="7034416" y="1705647"/>
          <a:ext cx="2151549" cy="29579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ctr"/>
          <a:r>
            <a:rPr lang="en-US" sz="1400" b="1">
              <a:latin typeface="Open Sans" panose="020B0606030504020204" pitchFamily="34" charset="0"/>
              <a:ea typeface="Open Sans" panose="020B0606030504020204" pitchFamily="34" charset="0"/>
              <a:cs typeface="Open Sans" panose="020B0606030504020204" pitchFamily="34" charset="0"/>
            </a:rPr>
            <a:t>Public Residential</a:t>
          </a:r>
        </a:p>
      </xdr:txBody>
    </xdr:sp>
    <xdr:clientData/>
  </xdr:twoCellAnchor>
  <xdr:twoCellAnchor>
    <xdr:from>
      <xdr:col>11</xdr:col>
      <xdr:colOff>543131</xdr:colOff>
      <xdr:row>10</xdr:row>
      <xdr:rowOff>85249</xdr:rowOff>
    </xdr:from>
    <xdr:to>
      <xdr:col>14</xdr:col>
      <xdr:colOff>364118</xdr:colOff>
      <xdr:row>13</xdr:row>
      <xdr:rowOff>51933</xdr:rowOff>
    </xdr:to>
    <xdr:sp macro="" textlink="'Report '!I4">
      <xdr:nvSpPr>
        <xdr:cNvPr id="85" name="TextBox 84">
          <a:extLst>
            <a:ext uri="{FF2B5EF4-FFF2-40B4-BE49-F238E27FC236}">
              <a16:creationId xmlns:a16="http://schemas.microsoft.com/office/drawing/2014/main" id="{601B07CC-C618-EADA-FA26-91EFBCC2CF49}"/>
            </a:ext>
          </a:extLst>
        </xdr:cNvPr>
        <xdr:cNvSpPr txBox="1"/>
      </xdr:nvSpPr>
      <xdr:spPr>
        <a:xfrm>
          <a:off x="7210631" y="1940768"/>
          <a:ext cx="1639396" cy="52334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68CEB4-A83F-4CD3-A730-122FC280EAEC}" type="TxLink">
            <a:rPr lang="en-US" sz="1800" b="1" i="0" u="none" strike="noStrike">
              <a:solidFill>
                <a:srgbClr val="000000"/>
              </a:solidFill>
              <a:latin typeface="Open Sans" panose="020B0606030504020204" pitchFamily="34" charset="0"/>
              <a:ea typeface="Open Sans" panose="020B0606030504020204" pitchFamily="34" charset="0"/>
              <a:cs typeface="Open Sans" panose="020B0606030504020204" pitchFamily="34" charset="0"/>
            </a:rPr>
            <a:pPr algn="ctr"/>
            <a:t> $396 </a:t>
          </a:fld>
          <a:endParaRPr lang="en-US" sz="66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12</xdr:col>
      <xdr:colOff>586878</xdr:colOff>
      <xdr:row>6</xdr:row>
      <xdr:rowOff>156468</xdr:rowOff>
    </xdr:from>
    <xdr:to>
      <xdr:col>13</xdr:col>
      <xdr:colOff>476777</xdr:colOff>
      <xdr:row>9</xdr:row>
      <xdr:rowOff>87103</xdr:rowOff>
    </xdr:to>
    <xdr:pic>
      <xdr:nvPicPr>
        <xdr:cNvPr id="86" name="Graphic 85" descr="Home with solid fill">
          <a:extLst>
            <a:ext uri="{FF2B5EF4-FFF2-40B4-BE49-F238E27FC236}">
              <a16:creationId xmlns:a16="http://schemas.microsoft.com/office/drawing/2014/main" id="{AC194454-2854-8C8B-6924-EDC85857A07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60514" y="1269780"/>
          <a:ext cx="496036" cy="487291"/>
        </a:xfrm>
        <a:prstGeom prst="rect">
          <a:avLst/>
        </a:prstGeom>
      </xdr:spPr>
    </xdr:pic>
    <xdr:clientData/>
  </xdr:twoCellAnchor>
  <xdr:twoCellAnchor>
    <xdr:from>
      <xdr:col>15</xdr:col>
      <xdr:colOff>536229</xdr:colOff>
      <xdr:row>6</xdr:row>
      <xdr:rowOff>122501</xdr:rowOff>
    </xdr:from>
    <xdr:to>
      <xdr:col>19</xdr:col>
      <xdr:colOff>536228</xdr:colOff>
      <xdr:row>14</xdr:row>
      <xdr:rowOff>84401</xdr:rowOff>
    </xdr:to>
    <xdr:sp macro="" textlink="">
      <xdr:nvSpPr>
        <xdr:cNvPr id="88" name="Rectangle: Rounded Corners 87">
          <a:extLst>
            <a:ext uri="{FF2B5EF4-FFF2-40B4-BE49-F238E27FC236}">
              <a16:creationId xmlns:a16="http://schemas.microsoft.com/office/drawing/2014/main" id="{5F4896BF-D6A1-9782-95A5-361018F0FCA3}"/>
            </a:ext>
          </a:extLst>
        </xdr:cNvPr>
        <xdr:cNvSpPr/>
      </xdr:nvSpPr>
      <xdr:spPr>
        <a:xfrm>
          <a:off x="9628274" y="1235813"/>
          <a:ext cx="2424545" cy="1446315"/>
        </a:xfrm>
        <a:prstGeom prst="roundRect">
          <a:avLst/>
        </a:prstGeom>
        <a:solidFill>
          <a:schemeClr val="bg1">
            <a:lumMod val="95000"/>
          </a:schemeClr>
        </a:solidFill>
        <a:effectLst>
          <a:innerShdw blurRad="114300">
            <a:prstClr val="black">
              <a:alpha val="9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596525</xdr:colOff>
      <xdr:row>9</xdr:row>
      <xdr:rowOff>35679</xdr:rowOff>
    </xdr:from>
    <xdr:to>
      <xdr:col>19</xdr:col>
      <xdr:colOff>492020</xdr:colOff>
      <xdr:row>10</xdr:row>
      <xdr:rowOff>145923</xdr:rowOff>
    </xdr:to>
    <xdr:sp macro="" textlink="">
      <xdr:nvSpPr>
        <xdr:cNvPr id="89" name="TextBox 88">
          <a:extLst>
            <a:ext uri="{FF2B5EF4-FFF2-40B4-BE49-F238E27FC236}">
              <a16:creationId xmlns:a16="http://schemas.microsoft.com/office/drawing/2014/main" id="{D651148F-3C28-0D68-A8E4-4130D4678433}"/>
            </a:ext>
          </a:extLst>
        </xdr:cNvPr>
        <xdr:cNvSpPr txBox="1"/>
      </xdr:nvSpPr>
      <xdr:spPr>
        <a:xfrm>
          <a:off x="9688570" y="1705647"/>
          <a:ext cx="2320041" cy="29579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ctr"/>
          <a:r>
            <a:rPr lang="en-US" sz="1400" b="1">
              <a:latin typeface="Open Sans" panose="020B0606030504020204" pitchFamily="34" charset="0"/>
              <a:ea typeface="Open Sans" panose="020B0606030504020204" pitchFamily="34" charset="0"/>
              <a:cs typeface="Open Sans" panose="020B0606030504020204" pitchFamily="34" charset="0"/>
            </a:rPr>
            <a:t>Public Nonresidential</a:t>
          </a:r>
        </a:p>
      </xdr:txBody>
    </xdr:sp>
    <xdr:clientData/>
  </xdr:twoCellAnchor>
  <xdr:twoCellAnchor>
    <xdr:from>
      <xdr:col>16</xdr:col>
      <xdr:colOff>225465</xdr:colOff>
      <xdr:row>10</xdr:row>
      <xdr:rowOff>85249</xdr:rowOff>
    </xdr:from>
    <xdr:to>
      <xdr:col>19</xdr:col>
      <xdr:colOff>46453</xdr:colOff>
      <xdr:row>13</xdr:row>
      <xdr:rowOff>51933</xdr:rowOff>
    </xdr:to>
    <xdr:sp macro="" textlink="'Report '!A12">
      <xdr:nvSpPr>
        <xdr:cNvPr id="90" name="TextBox 89">
          <a:extLst>
            <a:ext uri="{FF2B5EF4-FFF2-40B4-BE49-F238E27FC236}">
              <a16:creationId xmlns:a16="http://schemas.microsoft.com/office/drawing/2014/main" id="{1FAB13E1-2F6C-E3BF-75BA-E1946382B25A}"/>
            </a:ext>
          </a:extLst>
        </xdr:cNvPr>
        <xdr:cNvSpPr txBox="1"/>
      </xdr:nvSpPr>
      <xdr:spPr>
        <a:xfrm>
          <a:off x="9923647" y="1940768"/>
          <a:ext cx="1639397" cy="52334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274A22-FFBA-479A-9FE4-6F205FD0BF32}" type="TxLink">
            <a:rPr lang="en-US" sz="1800" b="1" i="0" u="none" strike="noStrike">
              <a:solidFill>
                <a:srgbClr val="000000"/>
              </a:solidFill>
              <a:latin typeface="Open Sans" panose="020B0606030504020204" pitchFamily="34" charset="0"/>
              <a:ea typeface="Open Sans" panose="020B0606030504020204" pitchFamily="34" charset="0"/>
              <a:cs typeface="Open Sans" panose="020B0606030504020204" pitchFamily="34" charset="0"/>
            </a:rPr>
            <a:pPr algn="ctr"/>
            <a:t> $18,273 </a:t>
          </a:fld>
          <a:endParaRPr lang="en-US" sz="6600" b="1">
            <a:solidFill>
              <a:sysClr val="windowText" lastClr="000000"/>
            </a:solidFill>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17</xdr:col>
      <xdr:colOff>270126</xdr:colOff>
      <xdr:row>6</xdr:row>
      <xdr:rowOff>156468</xdr:rowOff>
    </xdr:from>
    <xdr:to>
      <xdr:col>18</xdr:col>
      <xdr:colOff>158198</xdr:colOff>
      <xdr:row>9</xdr:row>
      <xdr:rowOff>87103</xdr:rowOff>
    </xdr:to>
    <xdr:pic>
      <xdr:nvPicPr>
        <xdr:cNvPr id="91" name="Graphic 90" descr="City with solid fill">
          <a:extLst>
            <a:ext uri="{FF2B5EF4-FFF2-40B4-BE49-F238E27FC236}">
              <a16:creationId xmlns:a16="http://schemas.microsoft.com/office/drawing/2014/main" id="{981EB166-98C2-5A3D-2D7A-A3C54CDF80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10574444" y="1269780"/>
          <a:ext cx="494209" cy="487291"/>
        </a:xfrm>
        <a:prstGeom prst="rect">
          <a:avLst/>
        </a:prstGeom>
      </xdr:spPr>
    </xdr:pic>
    <xdr:clientData/>
  </xdr:twoCellAnchor>
  <xdr:twoCellAnchor editAs="oneCell">
    <xdr:from>
      <xdr:col>1</xdr:col>
      <xdr:colOff>181705</xdr:colOff>
      <xdr:row>7</xdr:row>
      <xdr:rowOff>181798</xdr:rowOff>
    </xdr:from>
    <xdr:to>
      <xdr:col>1</xdr:col>
      <xdr:colOff>597764</xdr:colOff>
      <xdr:row>10</xdr:row>
      <xdr:rowOff>83736</xdr:rowOff>
    </xdr:to>
    <xdr:pic>
      <xdr:nvPicPr>
        <xdr:cNvPr id="97" name="Graphic 96" descr="Transfer with solid fill">
          <a:hlinkClick xmlns:r="http://schemas.openxmlformats.org/officeDocument/2006/relationships" r:id="rId5"/>
          <a:extLst>
            <a:ext uri="{FF2B5EF4-FFF2-40B4-BE49-F238E27FC236}">
              <a16:creationId xmlns:a16="http://schemas.microsoft.com/office/drawing/2014/main" id="{8C7A1DF6-CEE0-29D2-0E79-095E0AA426B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8793" y="1500644"/>
          <a:ext cx="416059" cy="467158"/>
        </a:xfrm>
        <a:prstGeom prst="rect">
          <a:avLst/>
        </a:prstGeom>
      </xdr:spPr>
    </xdr:pic>
    <xdr:clientData/>
  </xdr:twoCellAnchor>
  <xdr:twoCellAnchor editAs="oneCell">
    <xdr:from>
      <xdr:col>1</xdr:col>
      <xdr:colOff>115137</xdr:colOff>
      <xdr:row>34</xdr:row>
      <xdr:rowOff>94203</xdr:rowOff>
    </xdr:from>
    <xdr:to>
      <xdr:col>2</xdr:col>
      <xdr:colOff>139841</xdr:colOff>
      <xdr:row>37</xdr:row>
      <xdr:rowOff>160775</xdr:rowOff>
    </xdr:to>
    <xdr:pic>
      <xdr:nvPicPr>
        <xdr:cNvPr id="101" name="Graphic 100" descr="Email with solid fill">
          <a:hlinkClick xmlns:r="http://schemas.openxmlformats.org/officeDocument/2006/relationships" r:id="rId8"/>
          <a:extLst>
            <a:ext uri="{FF2B5EF4-FFF2-40B4-BE49-F238E27FC236}">
              <a16:creationId xmlns:a16="http://schemas.microsoft.com/office/drawing/2014/main" id="{C1691D01-CBD5-D19B-A020-E3686046BF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722225" y="6500027"/>
          <a:ext cx="631792" cy="631792"/>
        </a:xfrm>
        <a:prstGeom prst="rect">
          <a:avLst/>
        </a:prstGeom>
      </xdr:spPr>
    </xdr:pic>
    <xdr:clientData/>
  </xdr:twoCellAnchor>
  <xdr:twoCellAnchor editAs="oneCell">
    <xdr:from>
      <xdr:col>1</xdr:col>
      <xdr:colOff>76730</xdr:colOff>
      <xdr:row>15</xdr:row>
      <xdr:rowOff>139535</xdr:rowOff>
    </xdr:from>
    <xdr:to>
      <xdr:col>2</xdr:col>
      <xdr:colOff>146536</xdr:colOff>
      <xdr:row>18</xdr:row>
      <xdr:rowOff>0</xdr:rowOff>
    </xdr:to>
    <xdr:pic>
      <xdr:nvPicPr>
        <xdr:cNvPr id="103" name="Graphic 102" descr="Bar chart with solid fill">
          <a:hlinkClick xmlns:r="http://schemas.openxmlformats.org/officeDocument/2006/relationships" r:id="rId11"/>
          <a:extLst>
            <a:ext uri="{FF2B5EF4-FFF2-40B4-BE49-F238E27FC236}">
              <a16:creationId xmlns:a16="http://schemas.microsoft.com/office/drawing/2014/main" id="{49925E1C-E0B4-CBB2-2CA7-16CFECA207B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83818" y="2965634"/>
          <a:ext cx="676894" cy="425685"/>
        </a:xfrm>
        <a:prstGeom prst="rect">
          <a:avLst/>
        </a:prstGeom>
      </xdr:spPr>
    </xdr:pic>
    <xdr:clientData/>
  </xdr:twoCellAnchor>
  <xdr:twoCellAnchor editAs="oneCell">
    <xdr:from>
      <xdr:col>1</xdr:col>
      <xdr:colOff>94203</xdr:colOff>
      <xdr:row>28</xdr:row>
      <xdr:rowOff>31401</xdr:rowOff>
    </xdr:from>
    <xdr:to>
      <xdr:col>2</xdr:col>
      <xdr:colOff>104895</xdr:colOff>
      <xdr:row>31</xdr:row>
      <xdr:rowOff>83962</xdr:rowOff>
    </xdr:to>
    <xdr:pic>
      <xdr:nvPicPr>
        <xdr:cNvPr id="105" name="Graphic 104" descr="World with solid fill">
          <a:hlinkClick xmlns:r="http://schemas.openxmlformats.org/officeDocument/2006/relationships" r:id="rId14"/>
          <a:extLst>
            <a:ext uri="{FF2B5EF4-FFF2-40B4-BE49-F238E27FC236}">
              <a16:creationId xmlns:a16="http://schemas.microsoft.com/office/drawing/2014/main" id="{301E41D4-CA6F-C7DC-4630-A67F4B250DF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1291" y="5306786"/>
          <a:ext cx="617780" cy="617780"/>
        </a:xfrm>
        <a:prstGeom prst="rect">
          <a:avLst/>
        </a:prstGeom>
      </xdr:spPr>
    </xdr:pic>
    <xdr:clientData/>
  </xdr:twoCellAnchor>
  <xdr:twoCellAnchor editAs="oneCell">
    <xdr:from>
      <xdr:col>1</xdr:col>
      <xdr:colOff>41867</xdr:colOff>
      <xdr:row>12</xdr:row>
      <xdr:rowOff>125605</xdr:rowOff>
    </xdr:from>
    <xdr:to>
      <xdr:col>2</xdr:col>
      <xdr:colOff>125603</xdr:colOff>
      <xdr:row>14</xdr:row>
      <xdr:rowOff>177940</xdr:rowOff>
    </xdr:to>
    <xdr:pic>
      <xdr:nvPicPr>
        <xdr:cNvPr id="107" name="Graphic 106" descr="Abacus with solid fill">
          <a:hlinkClick xmlns:r="http://schemas.openxmlformats.org/officeDocument/2006/relationships" r:id="rId17"/>
          <a:extLst>
            <a:ext uri="{FF2B5EF4-FFF2-40B4-BE49-F238E27FC236}">
              <a16:creationId xmlns:a16="http://schemas.microsoft.com/office/drawing/2014/main" id="{3691D279-B5E2-7632-27DC-E7C3D1D2FBA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48955" y="2386484"/>
          <a:ext cx="690824" cy="429148"/>
        </a:xfrm>
        <a:prstGeom prst="rect">
          <a:avLst/>
        </a:prstGeom>
      </xdr:spPr>
    </xdr:pic>
    <xdr:clientData/>
  </xdr:twoCellAnchor>
  <xdr:twoCellAnchor editAs="oneCell">
    <xdr:from>
      <xdr:col>1</xdr:col>
      <xdr:colOff>58220</xdr:colOff>
      <xdr:row>19</xdr:row>
      <xdr:rowOff>41868</xdr:rowOff>
    </xdr:from>
    <xdr:to>
      <xdr:col>2</xdr:col>
      <xdr:colOff>110039</xdr:colOff>
      <xdr:row>21</xdr:row>
      <xdr:rowOff>177940</xdr:rowOff>
    </xdr:to>
    <xdr:pic>
      <xdr:nvPicPr>
        <xdr:cNvPr id="109" name="Graphic 108" descr="Blockchain outline">
          <a:extLst>
            <a:ext uri="{FF2B5EF4-FFF2-40B4-BE49-F238E27FC236}">
              <a16:creationId xmlns:a16="http://schemas.microsoft.com/office/drawing/2014/main" id="{9A5C119C-E7FD-2288-2F7A-387FB56B7F5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rcRect/>
        <a:stretch/>
      </xdr:blipFill>
      <xdr:spPr>
        <a:xfrm>
          <a:off x="665308" y="3621593"/>
          <a:ext cx="658907" cy="512885"/>
        </a:xfrm>
        <a:prstGeom prst="rect">
          <a:avLst/>
        </a:prstGeom>
      </xdr:spPr>
    </xdr:pic>
    <xdr:clientData/>
  </xdr:twoCellAnchor>
  <xdr:twoCellAnchor editAs="oneCell">
    <xdr:from>
      <xdr:col>1</xdr:col>
      <xdr:colOff>89621</xdr:colOff>
      <xdr:row>19</xdr:row>
      <xdr:rowOff>41868</xdr:rowOff>
    </xdr:from>
    <xdr:to>
      <xdr:col>2</xdr:col>
      <xdr:colOff>141440</xdr:colOff>
      <xdr:row>21</xdr:row>
      <xdr:rowOff>177940</xdr:rowOff>
    </xdr:to>
    <xdr:pic>
      <xdr:nvPicPr>
        <xdr:cNvPr id="110" name="Graphic 109" descr="Blockchain outline">
          <a:hlinkClick xmlns:r="http://schemas.openxmlformats.org/officeDocument/2006/relationships" r:id="rId22"/>
          <a:extLst>
            <a:ext uri="{FF2B5EF4-FFF2-40B4-BE49-F238E27FC236}">
              <a16:creationId xmlns:a16="http://schemas.microsoft.com/office/drawing/2014/main" id="{DF0911A6-EB26-2914-53FD-59C898A7A3D4}"/>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rcRect/>
        <a:stretch/>
      </xdr:blipFill>
      <xdr:spPr>
        <a:xfrm>
          <a:off x="696709" y="3621593"/>
          <a:ext cx="658907" cy="512885"/>
        </a:xfrm>
        <a:prstGeom prst="rect">
          <a:avLst/>
        </a:prstGeom>
      </xdr:spPr>
    </xdr:pic>
    <xdr:clientData/>
  </xdr:twoCellAnchor>
  <xdr:twoCellAnchor>
    <xdr:from>
      <xdr:col>11</xdr:col>
      <xdr:colOff>255967</xdr:colOff>
      <xdr:row>15</xdr:row>
      <xdr:rowOff>124428</xdr:rowOff>
    </xdr:from>
    <xdr:to>
      <xdr:col>19</xdr:col>
      <xdr:colOff>544286</xdr:colOff>
      <xdr:row>27</xdr:row>
      <xdr:rowOff>74220</xdr:rowOff>
    </xdr:to>
    <xdr:graphicFrame macro="">
      <xdr:nvGraphicFramePr>
        <xdr:cNvPr id="115" name="Chart 114">
          <a:extLst>
            <a:ext uri="{FF2B5EF4-FFF2-40B4-BE49-F238E27FC236}">
              <a16:creationId xmlns:a16="http://schemas.microsoft.com/office/drawing/2014/main" id="{61FB875C-D4E7-4D92-8679-6B921C30E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xdr:col>
      <xdr:colOff>284830</xdr:colOff>
      <xdr:row>28</xdr:row>
      <xdr:rowOff>158277</xdr:rowOff>
    </xdr:from>
    <xdr:to>
      <xdr:col>10</xdr:col>
      <xdr:colOff>593766</xdr:colOff>
      <xdr:row>40</xdr:row>
      <xdr:rowOff>111331</xdr:rowOff>
    </xdr:to>
    <xdr:graphicFrame macro="">
      <xdr:nvGraphicFramePr>
        <xdr:cNvPr id="119" name="Chart 118">
          <a:extLst>
            <a:ext uri="{FF2B5EF4-FFF2-40B4-BE49-F238E27FC236}">
              <a16:creationId xmlns:a16="http://schemas.microsoft.com/office/drawing/2014/main" id="{C96A4F54-7839-4B69-9734-FC0CF40F2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11</xdr:col>
      <xdr:colOff>280708</xdr:colOff>
      <xdr:row>28</xdr:row>
      <xdr:rowOff>170647</xdr:rowOff>
    </xdr:from>
    <xdr:to>
      <xdr:col>19</xdr:col>
      <xdr:colOff>544286</xdr:colOff>
      <xdr:row>40</xdr:row>
      <xdr:rowOff>98961</xdr:rowOff>
    </xdr:to>
    <xdr:graphicFrame macro="">
      <xdr:nvGraphicFramePr>
        <xdr:cNvPr id="121" name="Chart 120">
          <a:extLst>
            <a:ext uri="{FF2B5EF4-FFF2-40B4-BE49-F238E27FC236}">
              <a16:creationId xmlns:a16="http://schemas.microsoft.com/office/drawing/2014/main" id="{BC667111-BEAE-40AA-8ADA-374094298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284830</xdr:colOff>
      <xdr:row>15</xdr:row>
      <xdr:rowOff>124428</xdr:rowOff>
    </xdr:from>
    <xdr:to>
      <xdr:col>10</xdr:col>
      <xdr:colOff>593766</xdr:colOff>
      <xdr:row>27</xdr:row>
      <xdr:rowOff>61850</xdr:rowOff>
    </xdr:to>
    <xdr:graphicFrame macro="">
      <xdr:nvGraphicFramePr>
        <xdr:cNvPr id="123" name="Chart 122">
          <a:extLst>
            <a:ext uri="{FF2B5EF4-FFF2-40B4-BE49-F238E27FC236}">
              <a16:creationId xmlns:a16="http://schemas.microsoft.com/office/drawing/2014/main" id="{34AFCE6B-6773-4078-8EFF-5D18ADF36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20</xdr:col>
      <xdr:colOff>556656</xdr:colOff>
      <xdr:row>15</xdr:row>
      <xdr:rowOff>98962</xdr:rowOff>
    </xdr:from>
    <xdr:to>
      <xdr:col>23</xdr:col>
      <xdr:colOff>352947</xdr:colOff>
      <xdr:row>38</xdr:row>
      <xdr:rowOff>1</xdr:rowOff>
    </xdr:to>
    <mc:AlternateContent xmlns:mc="http://schemas.openxmlformats.org/markup-compatibility/2006" xmlns:a14="http://schemas.microsoft.com/office/drawing/2010/main">
      <mc:Choice Requires="a14">
        <xdr:graphicFrame macro="">
          <xdr:nvGraphicFramePr>
            <xdr:cNvPr id="127" name="Month 1">
              <a:extLst>
                <a:ext uri="{FF2B5EF4-FFF2-40B4-BE49-F238E27FC236}">
                  <a16:creationId xmlns:a16="http://schemas.microsoft.com/office/drawing/2014/main" id="{2C187BAB-9FD2-4AA5-B396-D7FCA748232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679383" y="2882241"/>
              <a:ext cx="1614700" cy="4168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276396</xdr:colOff>
      <xdr:row>8</xdr:row>
      <xdr:rowOff>51722</xdr:rowOff>
    </xdr:from>
    <xdr:to>
      <xdr:col>24</xdr:col>
      <xdr:colOff>46410</xdr:colOff>
      <xdr:row>13</xdr:row>
      <xdr:rowOff>38363</xdr:rowOff>
    </xdr:to>
    <mc:AlternateContent xmlns:mc="http://schemas.openxmlformats.org/markup-compatibility/2006" xmlns:tsle="http://schemas.microsoft.com/office/drawing/2012/timeslicer">
      <mc:Choice Requires="tsle">
        <xdr:graphicFrame macro="">
          <xdr:nvGraphicFramePr>
            <xdr:cNvPr id="129" name="Period 1">
              <a:extLst>
                <a:ext uri="{FF2B5EF4-FFF2-40B4-BE49-F238E27FC236}">
                  <a16:creationId xmlns:a16="http://schemas.microsoft.com/office/drawing/2014/main" id="{966ACB11-EB40-4165-A83F-44A9A494ADB7}"/>
                </a:ext>
              </a:extLst>
            </xdr:cNvPr>
            <xdr:cNvGraphicFramePr/>
          </xdr:nvGraphicFramePr>
          <xdr:xfrm>
            <a:off x="0" y="0"/>
            <a:ext cx="0" cy="0"/>
          </xdr:xfrm>
          <a:graphic>
            <a:graphicData uri="http://schemas.microsoft.com/office/drawing/2012/timeslicer">
              <tsle:timeslicer name="Period 1"/>
            </a:graphicData>
          </a:graphic>
        </xdr:graphicFrame>
      </mc:Choice>
      <mc:Fallback xmlns="">
        <xdr:sp macro="" textlink="">
          <xdr:nvSpPr>
            <xdr:cNvPr id="0" name=""/>
            <xdr:cNvSpPr>
              <a:spLocks noTextEdit="1"/>
            </xdr:cNvSpPr>
          </xdr:nvSpPr>
          <xdr:spPr>
            <a:xfrm>
              <a:off x="12399123" y="1536138"/>
              <a:ext cx="2194560" cy="914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84.575887847219" createdVersion="8" refreshedVersion="8" minRefreshableVersion="3" recordCount="49" xr:uid="{F69DD7ED-525D-4A38-AB0F-327417F2B0B6}">
  <cacheSource type="worksheet">
    <worksheetSource name="Table1"/>
  </cacheSource>
  <cacheFields count="25">
    <cacheField name="time.index" numFmtId="0">
      <sharedItems containsSemiMixedTypes="0" containsString="0" containsNumber="1" containsInteger="1" minValue="121" maxValue="169" count="49">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sharedItems>
    </cacheField>
    <cacheField name="Month" numFmtId="0">
      <sharedItems count="12">
        <s v="Jan"/>
        <s v="Feb"/>
        <s v="Mar"/>
        <s v="Apr"/>
        <s v="May"/>
        <s v="Jun"/>
        <s v="Jul"/>
        <s v="Aug"/>
        <s v="Sep"/>
        <s v="Oct"/>
        <s v="Nov"/>
        <s v="Dec"/>
      </sharedItems>
    </cacheField>
    <cacheField name="Period" numFmtId="17">
      <sharedItems containsSemiMixedTypes="0" containsNonDate="0" containsDate="1" containsString="0" minDate="2012-01-01T00:00:00" maxDate="2016-01-02T00:00:00" count="49">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sharedItems>
      <fieldGroup par="24"/>
    </cacheField>
    <cacheField name="Year" numFmtId="0">
      <sharedItems containsSemiMixedTypes="0" containsString="0" containsNumber="1" containsInteger="1" minValue="2012" maxValue="2016" count="5">
        <n v="2012"/>
        <n v="2013"/>
        <n v="2014"/>
        <n v="2015"/>
        <n v="2016"/>
      </sharedItems>
    </cacheField>
    <cacheField name="annual.combined.nonresidential" numFmtId="43">
      <sharedItems containsSemiMixedTypes="0" containsString="0" containsNumber="1" containsInteger="1" minValue="550261" maxValue="701883"/>
    </cacheField>
    <cacheField name="annual.combined.residential" numFmtId="43">
      <sharedItems containsSemiMixedTypes="0" containsString="0" containsNumber="1" containsInteger="1" minValue="256134" maxValue="439017"/>
    </cacheField>
    <cacheField name="annual.combined.total construction" numFmtId="43">
      <sharedItems containsSemiMixedTypes="0" containsString="0" containsNumber="1" containsInteger="1" minValue="823375" maxValue="1140841"/>
    </cacheField>
    <cacheField name="annual.private.nonresidential" numFmtId="43">
      <sharedItems containsSemiMixedTypes="0" containsString="0" containsNumber="1" containsInteger="1" minValue="290942" maxValue="403837"/>
    </cacheField>
    <cacheField name="annual.private.residential" numFmtId="43">
      <sharedItems containsSemiMixedTypes="0" containsString="0" containsNumber="1" containsInteger="1" minValue="249174" maxValue="433164"/>
    </cacheField>
    <cacheField name="annual.private.total construction" numFmtId="43">
      <sharedItems containsSemiMixedTypes="0" containsString="0" containsNumber="1" containsInteger="1" minValue="541688" maxValue="831405"/>
    </cacheField>
    <cacheField name="annual.public.nonresidential" numFmtId="43">
      <sharedItems containsSemiMixedTypes="0" containsString="0" containsNumber="1" containsInteger="1" minValue="257963" maxValue="303643"/>
    </cacheField>
    <cacheField name="annual.public.residential" numFmtId="43">
      <sharedItems containsSemiMixedTypes="0" containsString="0" containsNumber="1" containsInteger="1" minValue="4746" maxValue="6961"/>
    </cacheField>
    <cacheField name="annual.public.total construction" numFmtId="43">
      <sharedItems containsSemiMixedTypes="0" containsString="0" containsNumber="1" containsInteger="1" minValue="264084" maxValue="309437"/>
    </cacheField>
    <cacheField name="current.combined.nonresidential" numFmtId="43">
      <sharedItems containsSemiMixedTypes="0" containsString="0" containsNumber="1" containsInteger="1" minValue="38420" maxValue="64693"/>
    </cacheField>
    <cacheField name="current.combined.residential" numFmtId="43">
      <sharedItems containsSemiMixedTypes="0" containsString="0" containsNumber="1" containsInteger="1" minValue="16703" maxValue="40017"/>
    </cacheField>
    <cacheField name="current.combined.total construction" numFmtId="43">
      <sharedItems containsSemiMixedTypes="0" containsString="0" containsNumber="1" containsInteger="1" minValue="56608" maxValue="104574"/>
    </cacheField>
    <cacheField name="current.private.nonresidential" numFmtId="43">
      <sharedItems containsSemiMixedTypes="0" containsString="0" containsNumber="1" containsInteger="1" minValue="21728" maxValue="35897" count="49">
        <n v="22135"/>
        <n v="22337"/>
        <n v="23481"/>
        <n v="24484"/>
        <n v="25557"/>
        <n v="25842"/>
        <n v="25681"/>
        <n v="26020"/>
        <n v="26427"/>
        <n v="27508"/>
        <n v="26390"/>
        <n v="25500"/>
        <n v="21858"/>
        <n v="21728"/>
        <n v="22806"/>
        <n v="23930"/>
        <n v="25263"/>
        <n v="26028"/>
        <n v="27246"/>
        <n v="27779"/>
        <n v="28282"/>
        <n v="29441"/>
        <n v="29033"/>
        <n v="28894"/>
        <n v="26166"/>
        <n v="26168"/>
        <n v="26867"/>
        <n v="27969"/>
        <n v="28868"/>
        <n v="29385"/>
        <n v="29132"/>
        <n v="29568"/>
        <n v="30735"/>
        <n v="31782"/>
        <n v="30846"/>
        <n v="30180"/>
        <n v="26769"/>
        <n v="26773"/>
        <n v="28971"/>
        <n v="31675"/>
        <n v="33609"/>
        <n v="34168"/>
        <n v="34092"/>
        <n v="34335"/>
        <n v="35073"/>
        <n v="35897"/>
        <n v="34432"/>
        <n v="33312"/>
        <n v="29791"/>
      </sharedItems>
    </cacheField>
    <cacheField name="current.private.residential" numFmtId="43">
      <sharedItems containsSemiMixedTypes="0" containsString="0" containsNumber="1" containsInteger="1" minValue="16218" maxValue="39413" count="49">
        <n v="16389"/>
        <n v="16218"/>
        <n v="18829"/>
        <n v="21207"/>
        <n v="22608"/>
        <n v="24515"/>
        <n v="25276"/>
        <n v="26371"/>
        <n v="25937"/>
        <n v="27241"/>
        <n v="23814"/>
        <n v="21380"/>
        <n v="19977"/>
        <n v="19884"/>
        <n v="23399"/>
        <n v="25816"/>
        <n v="27441"/>
        <n v="29256"/>
        <n v="30205"/>
        <n v="31034"/>
        <n v="30614"/>
        <n v="31620"/>
        <n v="28295"/>
        <n v="25840"/>
        <n v="24130"/>
        <n v="23701"/>
        <n v="27987"/>
        <n v="30618"/>
        <n v="32262"/>
        <n v="33726"/>
        <n v="34149"/>
        <n v="34118"/>
        <n v="33964"/>
        <n v="34942"/>
        <n v="31463"/>
        <n v="28986"/>
        <n v="26959"/>
        <n v="26608"/>
        <n v="31145"/>
        <n v="33808"/>
        <n v="36339"/>
        <n v="38699"/>
        <n v="39328"/>
        <n v="39413"/>
        <n v="38922"/>
        <n v="39030"/>
        <n v="35388"/>
        <n v="31911"/>
        <n v="29125"/>
      </sharedItems>
    </cacheField>
    <cacheField name="current.private.total construction" numFmtId="43">
      <sharedItems containsSemiMixedTypes="0" containsString="0" containsNumber="1" containsInteger="1" minValue="38523" maxValue="74927"/>
    </cacheField>
    <cacheField name="current.public.nonresidential" numFmtId="43">
      <sharedItems containsSemiMixedTypes="0" containsString="0" containsNumber="1" containsInteger="1" minValue="16181" maxValue="30221" count="49">
        <n v="17575"/>
        <n v="17954"/>
        <n v="19020"/>
        <n v="20780"/>
        <n v="23548"/>
        <n v="26662"/>
        <n v="26812"/>
        <n v="28197"/>
        <n v="26476"/>
        <n v="25008"/>
        <n v="22344"/>
        <n v="18662"/>
        <n v="16561"/>
        <n v="16891"/>
        <n v="17501"/>
        <n v="20338"/>
        <n v="22536"/>
        <n v="25175"/>
        <n v="26368"/>
        <n v="27433"/>
        <n v="26423"/>
        <n v="25007"/>
        <n v="21895"/>
        <n v="18719"/>
        <n v="16314"/>
        <n v="16181"/>
        <n v="17780"/>
        <n v="20595"/>
        <n v="23002"/>
        <n v="25630"/>
        <n v="27002"/>
        <n v="27931"/>
        <n v="26997"/>
        <n v="26669"/>
        <n v="22613"/>
        <n v="19930"/>
        <n v="16705"/>
        <n v="16647"/>
        <n v="18384"/>
        <n v="21619"/>
        <n v="23968"/>
        <n v="27947"/>
        <n v="28897"/>
        <n v="30221"/>
        <n v="29620"/>
        <n v="27013"/>
        <n v="23184"/>
        <n v="20838"/>
        <n v="18273"/>
      </sharedItems>
    </cacheField>
    <cacheField name="current.public.residential" numFmtId="43">
      <sharedItems containsSemiMixedTypes="0" containsString="0" containsNumber="1" containsInteger="1" minValue="344" maxValue="622" count="44">
        <n v="510"/>
        <n v="486"/>
        <n v="474"/>
        <n v="530"/>
        <n v="514"/>
        <n v="562"/>
        <n v="536"/>
        <n v="563"/>
        <n v="565"/>
        <n v="524"/>
        <n v="480"/>
        <n v="425"/>
        <n v="395"/>
        <n v="484"/>
        <n v="517"/>
        <n v="535"/>
        <n v="539"/>
        <n v="527"/>
        <n v="506"/>
        <n v="483"/>
        <n v="473"/>
        <n v="424"/>
        <n v="354"/>
        <n v="344"/>
        <n v="358"/>
        <n v="391"/>
        <n v="408"/>
        <n v="461"/>
        <n v="445"/>
        <n v="447"/>
        <n v="458"/>
        <n v="440"/>
        <n v="421"/>
        <n v="422"/>
        <n v="463"/>
        <n v="558"/>
        <n v="600"/>
        <n v="595"/>
        <n v="605"/>
        <n v="622"/>
        <n v="584"/>
        <n v="557"/>
        <n v="467"/>
        <n v="396"/>
      </sharedItems>
    </cacheField>
    <cacheField name="current.public.total construction" numFmtId="43">
      <sharedItems containsSemiMixedTypes="0" containsString="0" containsNumber="1" containsInteger="1" minValue="16524" maxValue="30826"/>
    </cacheField>
    <cacheField name="Months (Period)" numFmtId="0" databaseField="0">
      <fieldGroup base="2">
        <rangePr groupBy="months" startDate="2012-01-01T00:00:00" endDate="2016-01-02T00:00:00"/>
        <groupItems count="14">
          <s v="&lt;01-01-12"/>
          <s v="Jan"/>
          <s v="Feb"/>
          <s v="Mar"/>
          <s v="Apr"/>
          <s v="May"/>
          <s v="Jun"/>
          <s v="Jul"/>
          <s v="Aug"/>
          <s v="Sep"/>
          <s v="Oct"/>
          <s v="Nov"/>
          <s v="Dec"/>
          <s v="&gt;02-01-16"/>
        </groupItems>
      </fieldGroup>
    </cacheField>
    <cacheField name="Quarters (Period)" numFmtId="0" databaseField="0">
      <fieldGroup base="2">
        <rangePr groupBy="quarters" startDate="2012-01-01T00:00:00" endDate="2016-01-02T00:00:00"/>
        <groupItems count="6">
          <s v="&lt;01-01-12"/>
          <s v="Qtr1"/>
          <s v="Qtr2"/>
          <s v="Qtr3"/>
          <s v="Qtr4"/>
          <s v="&gt;02-01-16"/>
        </groupItems>
      </fieldGroup>
    </cacheField>
    <cacheField name="Years (Period)" numFmtId="0" databaseField="0">
      <fieldGroup base="2">
        <rangePr groupBy="years" startDate="2012-01-01T00:00:00" endDate="2016-01-02T00:00:00"/>
        <groupItems count="7">
          <s v="&lt;01-01-12"/>
          <s v="2012"/>
          <s v="2013"/>
          <s v="2014"/>
          <s v="2015"/>
          <s v="2016"/>
          <s v="&gt;02-01-16"/>
        </groupItems>
      </fieldGroup>
    </cacheField>
  </cacheFields>
  <extLst>
    <ext xmlns:x14="http://schemas.microsoft.com/office/spreadsheetml/2009/9/main" uri="{725AE2AE-9491-48be-B2B4-4EB974FC3084}">
      <x14:pivotCacheDefinition pivotCacheId="8926183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84.639078009262" createdVersion="8" refreshedVersion="8" minRefreshableVersion="3" recordCount="49" xr:uid="{F20BA1F1-1D86-434C-92F7-BEEA5AB766F7}">
  <cacheSource type="worksheet">
    <worksheetSource ref="B1:V50" sheet="Dataset "/>
  </cacheSource>
  <cacheFields count="24">
    <cacheField name="Month" numFmtId="0">
      <sharedItems/>
    </cacheField>
    <cacheField name="Period" numFmtId="17">
      <sharedItems containsSemiMixedTypes="0" containsNonDate="0" containsDate="1" containsString="0" minDate="2002-01-01T00:00:00" maxDate="2016-01-02T00:00:00" count="169">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02-01-01T00:00:00" u="1"/>
        <d v="2002-02-01T00:00:00" u="1"/>
        <d v="2002-03-01T00:00:00" u="1"/>
        <d v="2002-04-01T00:00:00" u="1"/>
        <d v="2002-05-01T00:00:00" u="1"/>
        <d v="2002-06-01T00:00:00" u="1"/>
        <d v="2002-07-01T00:00:00" u="1"/>
        <d v="2002-08-01T00:00:00" u="1"/>
        <d v="2002-09-01T00:00:00" u="1"/>
        <d v="2002-10-01T00:00:00" u="1"/>
        <d v="2002-11-01T00:00:00" u="1"/>
        <d v="2002-12-01T00:00:00" u="1"/>
        <d v="2003-01-01T00:00:00" u="1"/>
        <d v="2003-02-01T00:00:00" u="1"/>
        <d v="2003-03-01T00:00:00" u="1"/>
        <d v="2003-04-01T00:00:00" u="1"/>
        <d v="2003-05-01T00:00:00" u="1"/>
        <d v="2003-06-01T00:00:00" u="1"/>
        <d v="2003-07-01T00:00:00" u="1"/>
        <d v="2003-08-01T00:00:00" u="1"/>
        <d v="2003-09-01T00:00:00" u="1"/>
        <d v="2003-10-01T00:00:00" u="1"/>
        <d v="2003-11-01T00:00:00" u="1"/>
        <d v="2003-12-01T00:00:00" u="1"/>
        <d v="2004-01-01T00:00:00" u="1"/>
        <d v="2004-02-01T00:00:00" u="1"/>
        <d v="2004-03-01T00:00:00" u="1"/>
        <d v="2004-04-01T00:00:00" u="1"/>
        <d v="2004-05-01T00:00:00" u="1"/>
        <d v="2004-06-01T00:00:00" u="1"/>
        <d v="2004-07-01T00:00:00" u="1"/>
        <d v="2004-08-01T00:00:00" u="1"/>
        <d v="2004-09-01T00:00:00" u="1"/>
        <d v="2004-10-01T00:00:00" u="1"/>
        <d v="2004-11-01T00:00:00" u="1"/>
        <d v="2004-12-01T00:00:00" u="1"/>
        <d v="2005-01-01T00:00:00" u="1"/>
        <d v="2005-02-01T00:00:00" u="1"/>
        <d v="2005-03-01T00:00:00" u="1"/>
        <d v="2005-04-01T00:00:00" u="1"/>
        <d v="2005-05-01T00:00:00" u="1"/>
        <d v="2005-06-01T00:00:00" u="1"/>
        <d v="2005-07-01T00:00:00" u="1"/>
        <d v="2005-08-01T00:00:00" u="1"/>
        <d v="2005-09-01T00:00:00" u="1"/>
        <d v="2005-10-01T00:00:00" u="1"/>
        <d v="2005-11-01T00:00:00" u="1"/>
        <d v="2005-12-01T00:00:00" u="1"/>
        <d v="2006-01-01T00:00:00" u="1"/>
        <d v="2006-02-01T00:00:00" u="1"/>
        <d v="2006-03-01T00:00:00" u="1"/>
        <d v="2006-04-01T00:00:00" u="1"/>
        <d v="2006-05-01T00:00:00" u="1"/>
        <d v="2006-06-01T00:00:00" u="1"/>
        <d v="2006-07-01T00:00:00" u="1"/>
        <d v="2006-08-01T00:00:00" u="1"/>
        <d v="2006-09-01T00:00:00" u="1"/>
        <d v="2006-10-01T00:00:00" u="1"/>
        <d v="2006-11-01T00:00:00" u="1"/>
        <d v="2006-12-01T00:00:00" u="1"/>
        <d v="2007-01-01T00:00:00" u="1"/>
        <d v="2007-02-01T00:00:00" u="1"/>
        <d v="2007-03-01T00:00:00" u="1"/>
        <d v="2007-04-01T00:00:00" u="1"/>
        <d v="2007-05-01T00:00:00" u="1"/>
        <d v="2007-06-01T00:00:00" u="1"/>
        <d v="2007-07-01T00:00:00" u="1"/>
        <d v="2007-08-01T00:00:00" u="1"/>
        <d v="2007-09-01T00:00:00" u="1"/>
        <d v="2007-10-01T00:00:00" u="1"/>
        <d v="2007-11-01T00:00:00" u="1"/>
        <d v="2007-12-01T00:00:00" u="1"/>
        <d v="2008-01-01T00:00:00" u="1"/>
        <d v="2008-02-01T00:00:00" u="1"/>
        <d v="2008-03-01T00:00:00" u="1"/>
        <d v="2008-04-01T00:00:00" u="1"/>
        <d v="2008-05-01T00:00:00" u="1"/>
        <d v="2008-06-01T00:00:00" u="1"/>
        <d v="2008-07-01T00:00:00" u="1"/>
        <d v="2008-08-01T00:00:00" u="1"/>
        <d v="2008-09-01T00:00:00" u="1"/>
        <d v="2008-10-01T00:00:00" u="1"/>
        <d v="2008-11-01T00:00:00" u="1"/>
        <d v="2008-12-01T00:00:00" u="1"/>
        <d v="2009-01-01T00:00:00" u="1"/>
        <d v="2009-02-01T00:00:00" u="1"/>
        <d v="2009-03-01T00:00:00" u="1"/>
        <d v="2009-04-01T00:00:00" u="1"/>
        <d v="2009-05-01T00:00:00" u="1"/>
        <d v="2009-06-01T00:00:00" u="1"/>
        <d v="2009-07-01T00:00:00" u="1"/>
        <d v="2009-08-01T00:00:00" u="1"/>
        <d v="2009-09-01T00:00:00" u="1"/>
        <d v="2009-10-01T00:00:00" u="1"/>
        <d v="2009-11-01T00:00:00" u="1"/>
        <d v="2009-12-01T00:00:00" u="1"/>
        <d v="2010-01-01T00:00:00" u="1"/>
        <d v="2010-02-01T00:00:00" u="1"/>
        <d v="2010-03-01T00:00:00" u="1"/>
        <d v="2010-04-01T00:00:00" u="1"/>
        <d v="2010-05-01T00:00:00" u="1"/>
        <d v="2010-06-01T00:00:00" u="1"/>
        <d v="2010-07-01T00:00:00" u="1"/>
        <d v="2010-08-01T00:00:00" u="1"/>
        <d v="2010-09-01T00:00:00" u="1"/>
        <d v="2010-10-01T00:00:00" u="1"/>
        <d v="2010-11-01T00:00:00" u="1"/>
        <d v="2010-12-01T00:00:00" u="1"/>
        <d v="2011-01-01T00:00:00" u="1"/>
        <d v="2011-02-01T00:00:00" u="1"/>
        <d v="2011-03-01T00:00:00" u="1"/>
        <d v="2011-04-01T00:00:00" u="1"/>
        <d v="2011-05-01T00:00:00" u="1"/>
        <d v="2011-06-01T00:00:00" u="1"/>
        <d v="2011-07-01T00:00:00" u="1"/>
        <d v="2011-08-01T00:00:00" u="1"/>
        <d v="2011-09-01T00:00:00" u="1"/>
        <d v="2011-10-01T00:00:00" u="1"/>
        <d v="2011-11-01T00:00:00" u="1"/>
        <d v="2011-12-01T00:00:00" u="1"/>
      </sharedItems>
      <fieldGroup par="23"/>
    </cacheField>
    <cacheField name="Year" numFmtId="0">
      <sharedItems containsSemiMixedTypes="0" containsString="0" containsNumber="1" containsInteger="1" minValue="2002" maxValue="2016" count="15">
        <n v="2012"/>
        <n v="2013"/>
        <n v="2014"/>
        <n v="2015"/>
        <n v="2016"/>
        <n v="2002" u="1"/>
        <n v="2003" u="1"/>
        <n v="2004" u="1"/>
        <n v="2005" u="1"/>
        <n v="2006" u="1"/>
        <n v="2007" u="1"/>
        <n v="2008" u="1"/>
        <n v="2009" u="1"/>
        <n v="2010" u="1"/>
        <n v="2011" u="1"/>
      </sharedItems>
    </cacheField>
    <cacheField name="annual.combined.nonresidential" numFmtId="43">
      <sharedItems containsSemiMixedTypes="0" containsString="0" containsNumber="1" containsInteger="1" minValue="550261" maxValue="701883"/>
    </cacheField>
    <cacheField name="annual.combined.residential" numFmtId="43">
      <sharedItems containsSemiMixedTypes="0" containsString="0" containsNumber="1" containsInteger="1" minValue="256134" maxValue="439017"/>
    </cacheField>
    <cacheField name="annual.combined.total construction" numFmtId="43">
      <sharedItems containsSemiMixedTypes="0" containsString="0" containsNumber="1" containsInteger="1" minValue="823375" maxValue="1140841"/>
    </cacheField>
    <cacheField name="annual.private.nonresidential" numFmtId="43">
      <sharedItems containsSemiMixedTypes="0" containsString="0" containsNumber="1" containsInteger="1" minValue="290942" maxValue="403837"/>
    </cacheField>
    <cacheField name="annual.private.residential" numFmtId="43">
      <sharedItems containsSemiMixedTypes="0" containsString="0" containsNumber="1" containsInteger="1" minValue="249174" maxValue="433164"/>
    </cacheField>
    <cacheField name="annual.private.total construction" numFmtId="43">
      <sharedItems containsSemiMixedTypes="0" containsString="0" containsNumber="1" containsInteger="1" minValue="541688" maxValue="831405"/>
    </cacheField>
    <cacheField name="annual.public.nonresidential" numFmtId="43">
      <sharedItems containsSemiMixedTypes="0" containsString="0" containsNumber="1" containsInteger="1" minValue="257963" maxValue="303643"/>
    </cacheField>
    <cacheField name="annual.public.residential" numFmtId="43">
      <sharedItems containsSemiMixedTypes="0" containsString="0" containsNumber="1" containsInteger="1" minValue="4746" maxValue="6961"/>
    </cacheField>
    <cacheField name="annual.public.total construction" numFmtId="43">
      <sharedItems containsSemiMixedTypes="0" containsString="0" containsNumber="1" containsInteger="1" minValue="264084" maxValue="309437"/>
    </cacheField>
    <cacheField name="current.combined.nonresidential" numFmtId="43">
      <sharedItems containsSemiMixedTypes="0" containsString="0" containsNumber="1" containsInteger="1" minValue="38420" maxValue="64693"/>
    </cacheField>
    <cacheField name="current.combined.residential" numFmtId="43">
      <sharedItems containsSemiMixedTypes="0" containsString="0" containsNumber="1" containsInteger="1" minValue="16703" maxValue="40017"/>
    </cacheField>
    <cacheField name="current.combined.total construction" numFmtId="43">
      <sharedItems containsSemiMixedTypes="0" containsString="0" containsNumber="1" containsInteger="1" minValue="56608" maxValue="104574"/>
    </cacheField>
    <cacheField name="current.private.nonresidential" numFmtId="43">
      <sharedItems containsSemiMixedTypes="0" containsString="0" containsNumber="1" containsInteger="1" minValue="21728" maxValue="35897"/>
    </cacheField>
    <cacheField name="current.private.residential" numFmtId="43">
      <sharedItems containsSemiMixedTypes="0" containsString="0" containsNumber="1" containsInteger="1" minValue="16218" maxValue="39413"/>
    </cacheField>
    <cacheField name="current.private.total construction" numFmtId="43">
      <sharedItems containsSemiMixedTypes="0" containsString="0" containsNumber="1" containsInteger="1" minValue="38523" maxValue="74927"/>
    </cacheField>
    <cacheField name="current.public.nonresidential" numFmtId="43">
      <sharedItems containsSemiMixedTypes="0" containsString="0" containsNumber="1" containsInteger="1" minValue="16181" maxValue="30221"/>
    </cacheField>
    <cacheField name="current.public.residential" numFmtId="43">
      <sharedItems containsSemiMixedTypes="0" containsString="0" containsNumber="1" containsInteger="1" minValue="344" maxValue="622"/>
    </cacheField>
    <cacheField name="current.public.total construction" numFmtId="43">
      <sharedItems containsSemiMixedTypes="0" containsString="0" containsNumber="1" containsInteger="1" minValue="16524" maxValue="30826"/>
    </cacheField>
    <cacheField name="Months (Period)" numFmtId="0" databaseField="0">
      <fieldGroup base="1">
        <rangePr groupBy="months" startDate="2012-01-01T00:00:00" endDate="2016-01-02T00:00:00"/>
        <groupItems count="14">
          <s v="&lt;01-01-12"/>
          <s v="Jan"/>
          <s v="Feb"/>
          <s v="Mar"/>
          <s v="Apr"/>
          <s v="May"/>
          <s v="Jun"/>
          <s v="Jul"/>
          <s v="Aug"/>
          <s v="Sep"/>
          <s v="Oct"/>
          <s v="Nov"/>
          <s v="Dec"/>
          <s v="&gt;02-01-16"/>
        </groupItems>
      </fieldGroup>
    </cacheField>
    <cacheField name="Quarters (Period)" numFmtId="0" databaseField="0">
      <fieldGroup base="1">
        <rangePr groupBy="quarters" startDate="2012-01-01T00:00:00" endDate="2016-01-02T00:00:00"/>
        <groupItems count="6">
          <s v="&lt;01-01-12"/>
          <s v="Qtr1"/>
          <s v="Qtr2"/>
          <s v="Qtr3"/>
          <s v="Qtr4"/>
          <s v="&gt;02-01-16"/>
        </groupItems>
      </fieldGroup>
    </cacheField>
    <cacheField name="Years (Period)" numFmtId="0" databaseField="0">
      <fieldGroup base="1">
        <rangePr groupBy="years" startDate="2012-01-01T00:00:00" endDate="2016-01-02T00:00:00"/>
        <groupItems count="7">
          <s v="&lt;01-01-12"/>
          <s v="2012"/>
          <s v="2013"/>
          <s v="2014"/>
          <s v="2015"/>
          <s v="2016"/>
          <s v="&gt;02-01-16"/>
        </groupItems>
      </fieldGroup>
    </cacheField>
  </cacheFields>
  <extLst>
    <ext xmlns:x14="http://schemas.microsoft.com/office/spreadsheetml/2009/9/main" uri="{725AE2AE-9491-48be-B2B4-4EB974FC3084}">
      <x14:pivotCacheDefinition pivotCacheId="1885820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x v="0"/>
    <n v="567241"/>
    <n v="256134"/>
    <n v="823375"/>
    <n v="292515"/>
    <n v="249174"/>
    <n v="541688"/>
    <n v="274726"/>
    <n v="6961"/>
    <n v="281687"/>
    <n v="39710"/>
    <n v="16898"/>
    <n v="56608"/>
    <x v="0"/>
    <x v="0"/>
    <n v="38523"/>
    <x v="0"/>
    <x v="0"/>
    <n v="18084"/>
  </r>
  <r>
    <x v="1"/>
    <x v="1"/>
    <x v="1"/>
    <x v="0"/>
    <n v="568161"/>
    <n v="257002"/>
    <n v="825163"/>
    <n v="291236"/>
    <n v="250549"/>
    <n v="541784"/>
    <n v="276925"/>
    <n v="6453"/>
    <n v="283378"/>
    <n v="40291"/>
    <n v="16703"/>
    <n v="56994"/>
    <x v="1"/>
    <x v="1"/>
    <n v="38555"/>
    <x v="1"/>
    <x v="1"/>
    <n v="18440"/>
  </r>
  <r>
    <x v="2"/>
    <x v="2"/>
    <x v="2"/>
    <x v="0"/>
    <n v="571468"/>
    <n v="257200"/>
    <n v="828668"/>
    <n v="297493"/>
    <n v="250973"/>
    <n v="548466"/>
    <n v="273975"/>
    <n v="6226"/>
    <n v="280202"/>
    <n v="42500"/>
    <n v="19303"/>
    <n v="61803"/>
    <x v="2"/>
    <x v="2"/>
    <n v="42310"/>
    <x v="2"/>
    <x v="2"/>
    <n v="19494"/>
  </r>
  <r>
    <x v="3"/>
    <x v="3"/>
    <x v="3"/>
    <x v="0"/>
    <n v="573386"/>
    <n v="261565"/>
    <n v="834951"/>
    <n v="301701"/>
    <n v="255138"/>
    <n v="556839"/>
    <n v="271684"/>
    <n v="6428"/>
    <n v="278112"/>
    <n v="45265"/>
    <n v="21737"/>
    <n v="67002"/>
    <x v="3"/>
    <x v="3"/>
    <n v="45691"/>
    <x v="3"/>
    <x v="3"/>
    <n v="21311"/>
  </r>
  <r>
    <x v="4"/>
    <x v="4"/>
    <x v="4"/>
    <x v="0"/>
    <n v="584148"/>
    <n v="265199"/>
    <n v="849347"/>
    <n v="306375"/>
    <n v="259103"/>
    <n v="565478"/>
    <n v="277773"/>
    <n v="6096"/>
    <n v="283869"/>
    <n v="49106"/>
    <n v="23122"/>
    <n v="72228"/>
    <x v="4"/>
    <x v="4"/>
    <n v="48165"/>
    <x v="4"/>
    <x v="4"/>
    <n v="24063"/>
  </r>
  <r>
    <x v="5"/>
    <x v="5"/>
    <x v="5"/>
    <x v="0"/>
    <n v="588698"/>
    <n v="270551"/>
    <n v="859250"/>
    <n v="306129"/>
    <n v="264209"/>
    <n v="570338"/>
    <n v="282569"/>
    <n v="6342"/>
    <n v="288911"/>
    <n v="52504"/>
    <n v="25077"/>
    <n v="77580"/>
    <x v="5"/>
    <x v="5"/>
    <n v="50356"/>
    <x v="5"/>
    <x v="5"/>
    <n v="27224"/>
  </r>
  <r>
    <x v="6"/>
    <x v="6"/>
    <x v="6"/>
    <x v="0"/>
    <n v="583801"/>
    <n v="273501"/>
    <n v="857301"/>
    <n v="308669"/>
    <n v="267291"/>
    <n v="575959"/>
    <n v="275132"/>
    <n v="6210"/>
    <n v="281342"/>
    <n v="52493"/>
    <n v="25812"/>
    <n v="78305"/>
    <x v="6"/>
    <x v="6"/>
    <n v="50957"/>
    <x v="6"/>
    <x v="6"/>
    <n v="27348"/>
  </r>
  <r>
    <x v="7"/>
    <x v="7"/>
    <x v="7"/>
    <x v="0"/>
    <n v="577335"/>
    <n v="280224"/>
    <n v="857558"/>
    <n v="303866"/>
    <n v="273995"/>
    <n v="577861"/>
    <n v="273469"/>
    <n v="6228"/>
    <n v="279697"/>
    <n v="54217"/>
    <n v="26935"/>
    <n v="81152"/>
    <x v="7"/>
    <x v="7"/>
    <n v="52392"/>
    <x v="7"/>
    <x v="7"/>
    <n v="28761"/>
  </r>
  <r>
    <x v="8"/>
    <x v="8"/>
    <x v="8"/>
    <x v="0"/>
    <n v="575081"/>
    <n v="287277"/>
    <n v="862358"/>
    <n v="307535"/>
    <n v="281260"/>
    <n v="588795"/>
    <n v="267546"/>
    <n v="6017"/>
    <n v="273563"/>
    <n v="52903"/>
    <n v="26501"/>
    <n v="79404"/>
    <x v="8"/>
    <x v="8"/>
    <n v="52363"/>
    <x v="8"/>
    <x v="8"/>
    <n v="27040"/>
  </r>
  <r>
    <x v="9"/>
    <x v="9"/>
    <x v="9"/>
    <x v="0"/>
    <n v="574609"/>
    <n v="295753"/>
    <n v="870362"/>
    <n v="305485"/>
    <n v="289601"/>
    <n v="595086"/>
    <n v="269125"/>
    <n v="6151"/>
    <n v="275276"/>
    <n v="52516"/>
    <n v="27771"/>
    <n v="80287"/>
    <x v="9"/>
    <x v="9"/>
    <n v="54749"/>
    <x v="9"/>
    <x v="3"/>
    <n v="25538"/>
  </r>
  <r>
    <x v="10"/>
    <x v="10"/>
    <x v="10"/>
    <x v="0"/>
    <n v="567098"/>
    <n v="299758"/>
    <n v="866855"/>
    <n v="300283"/>
    <n v="293589"/>
    <n v="593872"/>
    <n v="266815"/>
    <n v="6169"/>
    <n v="272983"/>
    <n v="48734"/>
    <n v="24338"/>
    <n v="73071"/>
    <x v="10"/>
    <x v="10"/>
    <n v="50204"/>
    <x v="10"/>
    <x v="9"/>
    <n v="22868"/>
  </r>
  <r>
    <x v="11"/>
    <x v="11"/>
    <x v="11"/>
    <x v="0"/>
    <n v="564083"/>
    <n v="301647"/>
    <n v="865730"/>
    <n v="303499"/>
    <n v="295627"/>
    <n v="599126"/>
    <n v="260584"/>
    <n v="6020"/>
    <n v="266604"/>
    <n v="44162"/>
    <n v="21860"/>
    <n v="66022"/>
    <x v="11"/>
    <x v="11"/>
    <n v="46880"/>
    <x v="11"/>
    <x v="10"/>
    <n v="19142"/>
  </r>
  <r>
    <x v="12"/>
    <x v="0"/>
    <x v="12"/>
    <x v="1"/>
    <n v="552088"/>
    <n v="305322"/>
    <n v="857410"/>
    <n v="290942"/>
    <n v="299340"/>
    <n v="590281"/>
    <n v="261147"/>
    <n v="5982"/>
    <n v="267129"/>
    <n v="38420"/>
    <n v="20401"/>
    <n v="58821"/>
    <x v="12"/>
    <x v="12"/>
    <n v="41835"/>
    <x v="12"/>
    <x v="11"/>
    <n v="16986"/>
  </r>
  <r>
    <x v="13"/>
    <x v="1"/>
    <x v="13"/>
    <x v="1"/>
    <n v="560501"/>
    <n v="311073"/>
    <n v="871574"/>
    <n v="291925"/>
    <n v="305399"/>
    <n v="597324"/>
    <n v="268576"/>
    <n v="5674"/>
    <n v="274250"/>
    <n v="38619"/>
    <n v="20279"/>
    <n v="58898"/>
    <x v="13"/>
    <x v="13"/>
    <n v="41612"/>
    <x v="13"/>
    <x v="12"/>
    <n v="17286"/>
  </r>
  <r>
    <x v="14"/>
    <x v="2"/>
    <x v="14"/>
    <x v="1"/>
    <n v="550261"/>
    <n v="315582"/>
    <n v="865844"/>
    <n v="292298"/>
    <n v="308952"/>
    <n v="601250"/>
    <n v="257963"/>
    <n v="6631"/>
    <n v="264594"/>
    <n v="40307"/>
    <n v="23883"/>
    <n v="64190"/>
    <x v="14"/>
    <x v="14"/>
    <n v="46205"/>
    <x v="14"/>
    <x v="13"/>
    <n v="17985"/>
  </r>
  <r>
    <x v="15"/>
    <x v="3"/>
    <x v="15"/>
    <x v="1"/>
    <n v="559573"/>
    <n v="318225"/>
    <n v="877799"/>
    <n v="294483"/>
    <n v="311918"/>
    <n v="606401"/>
    <n v="265091"/>
    <n v="6307"/>
    <n v="271398"/>
    <n v="44268"/>
    <n v="26333"/>
    <n v="70601"/>
    <x v="15"/>
    <x v="15"/>
    <n v="49746"/>
    <x v="15"/>
    <x v="14"/>
    <n v="20855"/>
  </r>
  <r>
    <x v="16"/>
    <x v="4"/>
    <x v="16"/>
    <x v="1"/>
    <n v="562308"/>
    <n v="320386"/>
    <n v="882693"/>
    <n v="298907"/>
    <n v="314234"/>
    <n v="613141"/>
    <n v="263400"/>
    <n v="6152"/>
    <n v="269552"/>
    <n v="47799"/>
    <n v="27976"/>
    <n v="75775"/>
    <x v="16"/>
    <x v="16"/>
    <n v="52704"/>
    <x v="16"/>
    <x v="15"/>
    <n v="23071"/>
  </r>
  <r>
    <x v="17"/>
    <x v="5"/>
    <x v="17"/>
    <x v="1"/>
    <n v="570310"/>
    <n v="322938"/>
    <n v="893248"/>
    <n v="302108"/>
    <n v="317073"/>
    <n v="619181"/>
    <n v="268202"/>
    <n v="5865"/>
    <n v="274067"/>
    <n v="51202"/>
    <n v="29795"/>
    <n v="80997"/>
    <x v="17"/>
    <x v="17"/>
    <n v="55284"/>
    <x v="17"/>
    <x v="16"/>
    <n v="25713"/>
  </r>
  <r>
    <x v="18"/>
    <x v="6"/>
    <x v="18"/>
    <x v="1"/>
    <n v="582742"/>
    <n v="326770"/>
    <n v="909513"/>
    <n v="315199"/>
    <n v="320879"/>
    <n v="636078"/>
    <n v="267543"/>
    <n v="5892"/>
    <n v="273435"/>
    <n v="53614"/>
    <n v="30732"/>
    <n v="84346"/>
    <x v="18"/>
    <x v="18"/>
    <n v="57451"/>
    <x v="18"/>
    <x v="17"/>
    <n v="26895"/>
  </r>
  <r>
    <x v="19"/>
    <x v="7"/>
    <x v="19"/>
    <x v="1"/>
    <n v="582014"/>
    <n v="332595"/>
    <n v="914609"/>
    <n v="316706"/>
    <n v="326788"/>
    <n v="643494"/>
    <n v="265308"/>
    <n v="5807"/>
    <n v="271115"/>
    <n v="55212"/>
    <n v="31565"/>
    <n v="86776"/>
    <x v="19"/>
    <x v="19"/>
    <n v="58813"/>
    <x v="19"/>
    <x v="3"/>
    <n v="27963"/>
  </r>
  <r>
    <x v="20"/>
    <x v="8"/>
    <x v="20"/>
    <x v="1"/>
    <n v="586318"/>
    <n v="338043"/>
    <n v="924361"/>
    <n v="320810"/>
    <n v="332773"/>
    <n v="653583"/>
    <n v="265508"/>
    <n v="5270"/>
    <n v="270778"/>
    <n v="54705"/>
    <n v="31120"/>
    <n v="85825"/>
    <x v="20"/>
    <x v="20"/>
    <n v="58896"/>
    <x v="20"/>
    <x v="18"/>
    <n v="26929"/>
  </r>
  <r>
    <x v="21"/>
    <x v="9"/>
    <x v="21"/>
    <x v="1"/>
    <n v="594053"/>
    <n v="343929"/>
    <n v="937982"/>
    <n v="327293"/>
    <n v="338378"/>
    <n v="665670"/>
    <n v="266760"/>
    <n v="5552"/>
    <n v="272312"/>
    <n v="54448"/>
    <n v="32103"/>
    <n v="86551"/>
    <x v="21"/>
    <x v="21"/>
    <n v="61061"/>
    <x v="21"/>
    <x v="19"/>
    <n v="25490"/>
  </r>
  <r>
    <x v="22"/>
    <x v="10"/>
    <x v="22"/>
    <x v="1"/>
    <n v="595310"/>
    <n v="353540"/>
    <n v="948850"/>
    <n v="333564"/>
    <n v="347826"/>
    <n v="681390"/>
    <n v="261746"/>
    <n v="5714"/>
    <n v="267460"/>
    <n v="50928"/>
    <n v="28767"/>
    <n v="79695"/>
    <x v="22"/>
    <x v="22"/>
    <n v="57328"/>
    <x v="22"/>
    <x v="20"/>
    <n v="22367"/>
  </r>
  <r>
    <x v="23"/>
    <x v="11"/>
    <x v="23"/>
    <x v="1"/>
    <n v="601388"/>
    <n v="360608"/>
    <n v="961996"/>
    <n v="339647"/>
    <n v="355228"/>
    <n v="694875"/>
    <n v="261740"/>
    <n v="5380"/>
    <n v="267120"/>
    <n v="47613"/>
    <n v="26264"/>
    <n v="73876"/>
    <x v="23"/>
    <x v="23"/>
    <n v="54734"/>
    <x v="23"/>
    <x v="21"/>
    <n v="19143"/>
  </r>
  <r>
    <x v="24"/>
    <x v="0"/>
    <x v="24"/>
    <x v="2"/>
    <n v="606955"/>
    <n v="366700"/>
    <n v="973655"/>
    <n v="347575"/>
    <n v="361795"/>
    <n v="709370"/>
    <n v="259380"/>
    <n v="4905"/>
    <n v="264284"/>
    <n v="42480"/>
    <n v="24484"/>
    <n v="66964"/>
    <x v="24"/>
    <x v="24"/>
    <n v="50296"/>
    <x v="24"/>
    <x v="22"/>
    <n v="16668"/>
  </r>
  <r>
    <x v="25"/>
    <x v="1"/>
    <x v="25"/>
    <x v="2"/>
    <n v="616937"/>
    <n v="368343"/>
    <n v="985280"/>
    <n v="357783"/>
    <n v="363413"/>
    <n v="721196"/>
    <n v="259154"/>
    <n v="4930"/>
    <n v="264084"/>
    <n v="42349"/>
    <n v="24044"/>
    <n v="66393"/>
    <x v="25"/>
    <x v="25"/>
    <n v="49868"/>
    <x v="25"/>
    <x v="23"/>
    <n v="16524"/>
  </r>
  <r>
    <x v="26"/>
    <x v="2"/>
    <x v="26"/>
    <x v="2"/>
    <n v="617525"/>
    <n v="371970"/>
    <n v="989496"/>
    <n v="353443"/>
    <n v="367107"/>
    <n v="720551"/>
    <n v="264082"/>
    <n v="4863"/>
    <n v="268945"/>
    <n v="44647"/>
    <n v="28345"/>
    <n v="72992"/>
    <x v="26"/>
    <x v="26"/>
    <n v="54854"/>
    <x v="26"/>
    <x v="24"/>
    <n v="18139"/>
  </r>
  <r>
    <x v="27"/>
    <x v="3"/>
    <x v="27"/>
    <x v="2"/>
    <n v="618860"/>
    <n v="374054"/>
    <n v="992914"/>
    <n v="350256"/>
    <n v="369284"/>
    <n v="719540"/>
    <n v="268603"/>
    <n v="4770"/>
    <n v="273374"/>
    <n v="48564"/>
    <n v="31009"/>
    <n v="79572"/>
    <x v="27"/>
    <x v="27"/>
    <n v="58587"/>
    <x v="27"/>
    <x v="25"/>
    <n v="20985"/>
  </r>
  <r>
    <x v="28"/>
    <x v="4"/>
    <x v="28"/>
    <x v="2"/>
    <n v="619373"/>
    <n v="371364"/>
    <n v="990737"/>
    <n v="348464"/>
    <n v="366618"/>
    <n v="715082"/>
    <n v="270909"/>
    <n v="4746"/>
    <n v="275655"/>
    <n v="51870"/>
    <n v="32670"/>
    <n v="84540"/>
    <x v="28"/>
    <x v="28"/>
    <n v="61131"/>
    <x v="28"/>
    <x v="26"/>
    <n v="23409"/>
  </r>
  <r>
    <x v="29"/>
    <x v="5"/>
    <x v="29"/>
    <x v="2"/>
    <n v="615823"/>
    <n v="368083"/>
    <n v="983906"/>
    <n v="344538"/>
    <n v="363134"/>
    <n v="707673"/>
    <n v="271285"/>
    <n v="4949"/>
    <n v="276233"/>
    <n v="55014"/>
    <n v="34187"/>
    <n v="89201"/>
    <x v="29"/>
    <x v="29"/>
    <n v="63111"/>
    <x v="29"/>
    <x v="27"/>
    <n v="26091"/>
  </r>
  <r>
    <x v="30"/>
    <x v="6"/>
    <x v="30"/>
    <x v="2"/>
    <n v="617925"/>
    <n v="367065"/>
    <n v="984990"/>
    <n v="344256"/>
    <n v="362054"/>
    <n v="706309"/>
    <n v="273669"/>
    <n v="5012"/>
    <n v="278681"/>
    <n v="56133"/>
    <n v="34594"/>
    <n v="90727"/>
    <x v="30"/>
    <x v="30"/>
    <n v="63280"/>
    <x v="30"/>
    <x v="28"/>
    <n v="27447"/>
  </r>
  <r>
    <x v="31"/>
    <x v="7"/>
    <x v="31"/>
    <x v="2"/>
    <n v="619983"/>
    <n v="366894"/>
    <n v="986876"/>
    <n v="346324"/>
    <n v="361860"/>
    <n v="708184"/>
    <n v="273659"/>
    <n v="5034"/>
    <n v="278693"/>
    <n v="57499"/>
    <n v="34565"/>
    <n v="92064"/>
    <x v="31"/>
    <x v="31"/>
    <n v="63686"/>
    <x v="31"/>
    <x v="29"/>
    <n v="28378"/>
  </r>
  <r>
    <x v="32"/>
    <x v="8"/>
    <x v="32"/>
    <x v="2"/>
    <n v="616654"/>
    <n v="375695"/>
    <n v="992349"/>
    <n v="347753"/>
    <n v="370275"/>
    <n v="718028"/>
    <n v="268901"/>
    <n v="5420"/>
    <n v="274321"/>
    <n v="57733"/>
    <n v="34474"/>
    <n v="92206"/>
    <x v="32"/>
    <x v="32"/>
    <n v="64700"/>
    <x v="32"/>
    <x v="0"/>
    <n v="27507"/>
  </r>
  <r>
    <x v="33"/>
    <x v="9"/>
    <x v="33"/>
    <x v="2"/>
    <n v="632332"/>
    <n v="383645"/>
    <n v="1015977"/>
    <n v="350013"/>
    <n v="378517"/>
    <n v="728530"/>
    <n v="282319"/>
    <n v="5128"/>
    <n v="287446"/>
    <n v="58451"/>
    <n v="35401"/>
    <n v="93852"/>
    <x v="33"/>
    <x v="33"/>
    <n v="66724"/>
    <x v="33"/>
    <x v="30"/>
    <n v="27127"/>
  </r>
  <r>
    <x v="34"/>
    <x v="10"/>
    <x v="34"/>
    <x v="2"/>
    <n v="624379"/>
    <n v="391674"/>
    <n v="1016054"/>
    <n v="352185"/>
    <n v="386325"/>
    <n v="738510"/>
    <n v="272194"/>
    <n v="5350"/>
    <n v="277544"/>
    <n v="53460"/>
    <n v="31903"/>
    <n v="85362"/>
    <x v="34"/>
    <x v="34"/>
    <n v="62310"/>
    <x v="34"/>
    <x v="31"/>
    <n v="23053"/>
  </r>
  <r>
    <x v="35"/>
    <x v="11"/>
    <x v="35"/>
    <x v="2"/>
    <n v="628795"/>
    <n v="402840"/>
    <n v="1031635"/>
    <n v="352717"/>
    <n v="397351"/>
    <n v="750069"/>
    <n v="276078"/>
    <n v="5489"/>
    <n v="281566"/>
    <n v="50110"/>
    <n v="29425"/>
    <n v="79535"/>
    <x v="35"/>
    <x v="35"/>
    <n v="59166"/>
    <x v="35"/>
    <x v="31"/>
    <n v="20369"/>
  </r>
  <r>
    <x v="36"/>
    <x v="0"/>
    <x v="36"/>
    <x v="3"/>
    <n v="625218"/>
    <n v="408043"/>
    <n v="1033261"/>
    <n v="357245"/>
    <n v="402151"/>
    <n v="759396"/>
    <n v="267973"/>
    <n v="5893"/>
    <n v="273865"/>
    <n v="43474"/>
    <n v="27379"/>
    <n v="70853"/>
    <x v="36"/>
    <x v="36"/>
    <n v="53727"/>
    <x v="36"/>
    <x v="32"/>
    <n v="17126"/>
  </r>
  <r>
    <x v="37"/>
    <x v="1"/>
    <x v="37"/>
    <x v="3"/>
    <n v="626814"/>
    <n v="410713"/>
    <n v="1037527"/>
    <n v="360244"/>
    <n v="404636"/>
    <n v="764880"/>
    <n v="266570"/>
    <n v="6076"/>
    <n v="272646"/>
    <n v="43419"/>
    <n v="27030"/>
    <n v="70449"/>
    <x v="37"/>
    <x v="37"/>
    <n v="53381"/>
    <x v="37"/>
    <x v="33"/>
    <n v="17068"/>
  </r>
  <r>
    <x v="38"/>
    <x v="2"/>
    <x v="38"/>
    <x v="3"/>
    <n v="642472"/>
    <n v="410428"/>
    <n v="1052899"/>
    <n v="372201"/>
    <n v="404061"/>
    <n v="776261"/>
    <n v="270271"/>
    <n v="6367"/>
    <n v="276638"/>
    <n v="47355"/>
    <n v="31608"/>
    <n v="78963"/>
    <x v="38"/>
    <x v="38"/>
    <n v="60115"/>
    <x v="38"/>
    <x v="34"/>
    <n v="18848"/>
  </r>
  <r>
    <x v="39"/>
    <x v="3"/>
    <x v="39"/>
    <x v="3"/>
    <n v="671296"/>
    <n v="413666"/>
    <n v="1084961"/>
    <n v="390372"/>
    <n v="407157"/>
    <n v="797529"/>
    <n v="280923"/>
    <n v="6509"/>
    <n v="287432"/>
    <n v="53293"/>
    <n v="34366"/>
    <n v="87659"/>
    <x v="39"/>
    <x v="39"/>
    <n v="65483"/>
    <x v="39"/>
    <x v="35"/>
    <n v="22176"/>
  </r>
  <r>
    <x v="40"/>
    <x v="4"/>
    <x v="40"/>
    <x v="3"/>
    <n v="688688"/>
    <n v="418881"/>
    <n v="1107569"/>
    <n v="403390"/>
    <n v="412208"/>
    <n v="815598"/>
    <n v="285299"/>
    <n v="6673"/>
    <n v="291971"/>
    <n v="57578"/>
    <n v="36904"/>
    <n v="94482"/>
    <x v="40"/>
    <x v="40"/>
    <n v="69949"/>
    <x v="40"/>
    <x v="8"/>
    <n v="24533"/>
  </r>
  <r>
    <x v="41"/>
    <x v="5"/>
    <x v="41"/>
    <x v="3"/>
    <n v="691761"/>
    <n v="421663"/>
    <n v="1113424"/>
    <n v="397434"/>
    <n v="415165"/>
    <n v="812599"/>
    <n v="294327"/>
    <n v="6498"/>
    <n v="300825"/>
    <n v="62115"/>
    <n v="39300"/>
    <n v="101415"/>
    <x v="41"/>
    <x v="41"/>
    <n v="72867"/>
    <x v="41"/>
    <x v="36"/>
    <n v="28548"/>
  </r>
  <r>
    <x v="42"/>
    <x v="6"/>
    <x v="42"/>
    <x v="3"/>
    <n v="691677"/>
    <n v="423039"/>
    <n v="1114716"/>
    <n v="399186"/>
    <n v="416421"/>
    <n v="815607"/>
    <n v="292491"/>
    <n v="6618"/>
    <n v="299109"/>
    <n v="62989"/>
    <n v="39923"/>
    <n v="102912"/>
    <x v="42"/>
    <x v="42"/>
    <n v="73420"/>
    <x v="42"/>
    <x v="37"/>
    <n v="29492"/>
  </r>
  <r>
    <x v="43"/>
    <x v="7"/>
    <x v="43"/>
    <x v="3"/>
    <n v="694400"/>
    <n v="427507"/>
    <n v="1121907"/>
    <n v="400062"/>
    <n v="420742"/>
    <n v="820804"/>
    <n v="294338"/>
    <n v="6765"/>
    <n v="301103"/>
    <n v="64557"/>
    <n v="40017"/>
    <n v="104574"/>
    <x v="43"/>
    <x v="43"/>
    <n v="73748"/>
    <x v="43"/>
    <x v="38"/>
    <n v="30826"/>
  </r>
  <r>
    <x v="44"/>
    <x v="8"/>
    <x v="44"/>
    <x v="3"/>
    <n v="691511"/>
    <n v="432381"/>
    <n v="1123892"/>
    <n v="398498"/>
    <n v="425703"/>
    <n v="824201"/>
    <n v="293013"/>
    <n v="6678"/>
    <n v="299691"/>
    <n v="64693"/>
    <n v="39544"/>
    <n v="104237"/>
    <x v="44"/>
    <x v="44"/>
    <n v="73995"/>
    <x v="44"/>
    <x v="39"/>
    <n v="30242"/>
  </r>
  <r>
    <x v="45"/>
    <x v="9"/>
    <x v="45"/>
    <x v="3"/>
    <n v="691585"/>
    <n v="431164"/>
    <n v="1122749"/>
    <n v="403837"/>
    <n v="424657"/>
    <n v="828494"/>
    <n v="287748"/>
    <n v="6507"/>
    <n v="294256"/>
    <n v="62909"/>
    <n v="39614"/>
    <n v="102523"/>
    <x v="45"/>
    <x v="45"/>
    <n v="74927"/>
    <x v="45"/>
    <x v="40"/>
    <n v="27597"/>
  </r>
  <r>
    <x v="46"/>
    <x v="10"/>
    <x v="46"/>
    <x v="3"/>
    <n v="680526"/>
    <n v="436437"/>
    <n v="1116962"/>
    <n v="400344"/>
    <n v="429850"/>
    <n v="830195"/>
    <n v="280181"/>
    <n v="6587"/>
    <n v="286768"/>
    <n v="57616"/>
    <n v="35945"/>
    <n v="93561"/>
    <x v="46"/>
    <x v="46"/>
    <n v="69820"/>
    <x v="46"/>
    <x v="41"/>
    <n v="23741"/>
  </r>
  <r>
    <x v="47"/>
    <x v="11"/>
    <x v="47"/>
    <x v="3"/>
    <n v="684481"/>
    <n v="439017"/>
    <n v="1123497"/>
    <n v="394237"/>
    <n v="433108"/>
    <n v="827345"/>
    <n v="290244"/>
    <n v="5909"/>
    <n v="296153"/>
    <n v="54150"/>
    <n v="32378"/>
    <n v="86527"/>
    <x v="47"/>
    <x v="47"/>
    <n v="65223"/>
    <x v="47"/>
    <x v="42"/>
    <n v="21305"/>
  </r>
  <r>
    <x v="48"/>
    <x v="0"/>
    <x v="48"/>
    <x v="4"/>
    <n v="701883"/>
    <n v="438958"/>
    <n v="1140841"/>
    <n v="398241"/>
    <n v="433164"/>
    <n v="831405"/>
    <n v="303643"/>
    <n v="5794"/>
    <n v="309437"/>
    <n v="48064"/>
    <n v="29521"/>
    <n v="77586"/>
    <x v="48"/>
    <x v="48"/>
    <n v="58916"/>
    <x v="48"/>
    <x v="43"/>
    <n v="1866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Jan"/>
    <x v="0"/>
    <x v="0"/>
    <n v="567241"/>
    <n v="256134"/>
    <n v="823375"/>
    <n v="292515"/>
    <n v="249174"/>
    <n v="541688"/>
    <n v="274726"/>
    <n v="6961"/>
    <n v="281687"/>
    <n v="39710"/>
    <n v="16898"/>
    <n v="56608"/>
    <n v="22135"/>
    <n v="16389"/>
    <n v="38523"/>
    <n v="17575"/>
    <n v="510"/>
    <n v="18084"/>
  </r>
  <r>
    <s v="Feb"/>
    <x v="1"/>
    <x v="0"/>
    <n v="568161"/>
    <n v="257002"/>
    <n v="825163"/>
    <n v="291236"/>
    <n v="250549"/>
    <n v="541784"/>
    <n v="276925"/>
    <n v="6453"/>
    <n v="283378"/>
    <n v="40291"/>
    <n v="16703"/>
    <n v="56994"/>
    <n v="22337"/>
    <n v="16218"/>
    <n v="38555"/>
    <n v="17954"/>
    <n v="486"/>
    <n v="18440"/>
  </r>
  <r>
    <s v="Mar"/>
    <x v="2"/>
    <x v="0"/>
    <n v="571468"/>
    <n v="257200"/>
    <n v="828668"/>
    <n v="297493"/>
    <n v="250973"/>
    <n v="548466"/>
    <n v="273975"/>
    <n v="6226"/>
    <n v="280202"/>
    <n v="42500"/>
    <n v="19303"/>
    <n v="61803"/>
    <n v="23481"/>
    <n v="18829"/>
    <n v="42310"/>
    <n v="19020"/>
    <n v="474"/>
    <n v="19494"/>
  </r>
  <r>
    <s v="Apr"/>
    <x v="3"/>
    <x v="0"/>
    <n v="573386"/>
    <n v="261565"/>
    <n v="834951"/>
    <n v="301701"/>
    <n v="255138"/>
    <n v="556839"/>
    <n v="271684"/>
    <n v="6428"/>
    <n v="278112"/>
    <n v="45265"/>
    <n v="21737"/>
    <n v="67002"/>
    <n v="24484"/>
    <n v="21207"/>
    <n v="45691"/>
    <n v="20780"/>
    <n v="530"/>
    <n v="21311"/>
  </r>
  <r>
    <s v="May"/>
    <x v="4"/>
    <x v="0"/>
    <n v="584148"/>
    <n v="265199"/>
    <n v="849347"/>
    <n v="306375"/>
    <n v="259103"/>
    <n v="565478"/>
    <n v="277773"/>
    <n v="6096"/>
    <n v="283869"/>
    <n v="49106"/>
    <n v="23122"/>
    <n v="72228"/>
    <n v="25557"/>
    <n v="22608"/>
    <n v="48165"/>
    <n v="23548"/>
    <n v="514"/>
    <n v="24063"/>
  </r>
  <r>
    <s v="Jun"/>
    <x v="5"/>
    <x v="0"/>
    <n v="588698"/>
    <n v="270551"/>
    <n v="859250"/>
    <n v="306129"/>
    <n v="264209"/>
    <n v="570338"/>
    <n v="282569"/>
    <n v="6342"/>
    <n v="288911"/>
    <n v="52504"/>
    <n v="25077"/>
    <n v="77580"/>
    <n v="25842"/>
    <n v="24515"/>
    <n v="50356"/>
    <n v="26662"/>
    <n v="562"/>
    <n v="27224"/>
  </r>
  <r>
    <s v="Jul"/>
    <x v="6"/>
    <x v="0"/>
    <n v="583801"/>
    <n v="273501"/>
    <n v="857301"/>
    <n v="308669"/>
    <n v="267291"/>
    <n v="575959"/>
    <n v="275132"/>
    <n v="6210"/>
    <n v="281342"/>
    <n v="52493"/>
    <n v="25812"/>
    <n v="78305"/>
    <n v="25681"/>
    <n v="25276"/>
    <n v="50957"/>
    <n v="26812"/>
    <n v="536"/>
    <n v="27348"/>
  </r>
  <r>
    <s v="Aug"/>
    <x v="7"/>
    <x v="0"/>
    <n v="577335"/>
    <n v="280224"/>
    <n v="857558"/>
    <n v="303866"/>
    <n v="273995"/>
    <n v="577861"/>
    <n v="273469"/>
    <n v="6228"/>
    <n v="279697"/>
    <n v="54217"/>
    <n v="26935"/>
    <n v="81152"/>
    <n v="26020"/>
    <n v="26371"/>
    <n v="52392"/>
    <n v="28197"/>
    <n v="563"/>
    <n v="28761"/>
  </r>
  <r>
    <s v="Sep"/>
    <x v="8"/>
    <x v="0"/>
    <n v="575081"/>
    <n v="287277"/>
    <n v="862358"/>
    <n v="307535"/>
    <n v="281260"/>
    <n v="588795"/>
    <n v="267546"/>
    <n v="6017"/>
    <n v="273563"/>
    <n v="52903"/>
    <n v="26501"/>
    <n v="79404"/>
    <n v="26427"/>
    <n v="25937"/>
    <n v="52363"/>
    <n v="26476"/>
    <n v="565"/>
    <n v="27040"/>
  </r>
  <r>
    <s v="Oct"/>
    <x v="9"/>
    <x v="0"/>
    <n v="574609"/>
    <n v="295753"/>
    <n v="870362"/>
    <n v="305485"/>
    <n v="289601"/>
    <n v="595086"/>
    <n v="269125"/>
    <n v="6151"/>
    <n v="275276"/>
    <n v="52516"/>
    <n v="27771"/>
    <n v="80287"/>
    <n v="27508"/>
    <n v="27241"/>
    <n v="54749"/>
    <n v="25008"/>
    <n v="530"/>
    <n v="25538"/>
  </r>
  <r>
    <s v="Nov"/>
    <x v="10"/>
    <x v="0"/>
    <n v="567098"/>
    <n v="299758"/>
    <n v="866855"/>
    <n v="300283"/>
    <n v="293589"/>
    <n v="593872"/>
    <n v="266815"/>
    <n v="6169"/>
    <n v="272983"/>
    <n v="48734"/>
    <n v="24338"/>
    <n v="73071"/>
    <n v="26390"/>
    <n v="23814"/>
    <n v="50204"/>
    <n v="22344"/>
    <n v="524"/>
    <n v="22868"/>
  </r>
  <r>
    <s v="Dec"/>
    <x v="11"/>
    <x v="0"/>
    <n v="564083"/>
    <n v="301647"/>
    <n v="865730"/>
    <n v="303499"/>
    <n v="295627"/>
    <n v="599126"/>
    <n v="260584"/>
    <n v="6020"/>
    <n v="266604"/>
    <n v="44162"/>
    <n v="21860"/>
    <n v="66022"/>
    <n v="25500"/>
    <n v="21380"/>
    <n v="46880"/>
    <n v="18662"/>
    <n v="480"/>
    <n v="19142"/>
  </r>
  <r>
    <s v="Jan"/>
    <x v="12"/>
    <x v="1"/>
    <n v="552088"/>
    <n v="305322"/>
    <n v="857410"/>
    <n v="290942"/>
    <n v="299340"/>
    <n v="590281"/>
    <n v="261147"/>
    <n v="5982"/>
    <n v="267129"/>
    <n v="38420"/>
    <n v="20401"/>
    <n v="58821"/>
    <n v="21858"/>
    <n v="19977"/>
    <n v="41835"/>
    <n v="16561"/>
    <n v="425"/>
    <n v="16986"/>
  </r>
  <r>
    <s v="Feb"/>
    <x v="13"/>
    <x v="1"/>
    <n v="560501"/>
    <n v="311073"/>
    <n v="871574"/>
    <n v="291925"/>
    <n v="305399"/>
    <n v="597324"/>
    <n v="268576"/>
    <n v="5674"/>
    <n v="274250"/>
    <n v="38619"/>
    <n v="20279"/>
    <n v="58898"/>
    <n v="21728"/>
    <n v="19884"/>
    <n v="41612"/>
    <n v="16891"/>
    <n v="395"/>
    <n v="17286"/>
  </r>
  <r>
    <s v="Mar"/>
    <x v="14"/>
    <x v="1"/>
    <n v="550261"/>
    <n v="315582"/>
    <n v="865844"/>
    <n v="292298"/>
    <n v="308952"/>
    <n v="601250"/>
    <n v="257963"/>
    <n v="6631"/>
    <n v="264594"/>
    <n v="40307"/>
    <n v="23883"/>
    <n v="64190"/>
    <n v="22806"/>
    <n v="23399"/>
    <n v="46205"/>
    <n v="17501"/>
    <n v="484"/>
    <n v="17985"/>
  </r>
  <r>
    <s v="Apr"/>
    <x v="15"/>
    <x v="1"/>
    <n v="559573"/>
    <n v="318225"/>
    <n v="877799"/>
    <n v="294483"/>
    <n v="311918"/>
    <n v="606401"/>
    <n v="265091"/>
    <n v="6307"/>
    <n v="271398"/>
    <n v="44268"/>
    <n v="26333"/>
    <n v="70601"/>
    <n v="23930"/>
    <n v="25816"/>
    <n v="49746"/>
    <n v="20338"/>
    <n v="517"/>
    <n v="20855"/>
  </r>
  <r>
    <s v="May"/>
    <x v="16"/>
    <x v="1"/>
    <n v="562308"/>
    <n v="320386"/>
    <n v="882693"/>
    <n v="298907"/>
    <n v="314234"/>
    <n v="613141"/>
    <n v="263400"/>
    <n v="6152"/>
    <n v="269552"/>
    <n v="47799"/>
    <n v="27976"/>
    <n v="75775"/>
    <n v="25263"/>
    <n v="27441"/>
    <n v="52704"/>
    <n v="22536"/>
    <n v="535"/>
    <n v="23071"/>
  </r>
  <r>
    <s v="Jun"/>
    <x v="17"/>
    <x v="1"/>
    <n v="570310"/>
    <n v="322938"/>
    <n v="893248"/>
    <n v="302108"/>
    <n v="317073"/>
    <n v="619181"/>
    <n v="268202"/>
    <n v="5865"/>
    <n v="274067"/>
    <n v="51202"/>
    <n v="29795"/>
    <n v="80997"/>
    <n v="26028"/>
    <n v="29256"/>
    <n v="55284"/>
    <n v="25175"/>
    <n v="539"/>
    <n v="25713"/>
  </r>
  <r>
    <s v="Jul"/>
    <x v="18"/>
    <x v="1"/>
    <n v="582742"/>
    <n v="326770"/>
    <n v="909513"/>
    <n v="315199"/>
    <n v="320879"/>
    <n v="636078"/>
    <n v="267543"/>
    <n v="5892"/>
    <n v="273435"/>
    <n v="53614"/>
    <n v="30732"/>
    <n v="84346"/>
    <n v="27246"/>
    <n v="30205"/>
    <n v="57451"/>
    <n v="26368"/>
    <n v="527"/>
    <n v="26895"/>
  </r>
  <r>
    <s v="Aug"/>
    <x v="19"/>
    <x v="1"/>
    <n v="582014"/>
    <n v="332595"/>
    <n v="914609"/>
    <n v="316706"/>
    <n v="326788"/>
    <n v="643494"/>
    <n v="265308"/>
    <n v="5807"/>
    <n v="271115"/>
    <n v="55212"/>
    <n v="31565"/>
    <n v="86776"/>
    <n v="27779"/>
    <n v="31034"/>
    <n v="58813"/>
    <n v="27433"/>
    <n v="530"/>
    <n v="27963"/>
  </r>
  <r>
    <s v="Sep"/>
    <x v="20"/>
    <x v="1"/>
    <n v="586318"/>
    <n v="338043"/>
    <n v="924361"/>
    <n v="320810"/>
    <n v="332773"/>
    <n v="653583"/>
    <n v="265508"/>
    <n v="5270"/>
    <n v="270778"/>
    <n v="54705"/>
    <n v="31120"/>
    <n v="85825"/>
    <n v="28282"/>
    <n v="30614"/>
    <n v="58896"/>
    <n v="26423"/>
    <n v="506"/>
    <n v="26929"/>
  </r>
  <r>
    <s v="Oct"/>
    <x v="21"/>
    <x v="1"/>
    <n v="594053"/>
    <n v="343929"/>
    <n v="937982"/>
    <n v="327293"/>
    <n v="338378"/>
    <n v="665670"/>
    <n v="266760"/>
    <n v="5552"/>
    <n v="272312"/>
    <n v="54448"/>
    <n v="32103"/>
    <n v="86551"/>
    <n v="29441"/>
    <n v="31620"/>
    <n v="61061"/>
    <n v="25007"/>
    <n v="483"/>
    <n v="25490"/>
  </r>
  <r>
    <s v="Nov"/>
    <x v="22"/>
    <x v="1"/>
    <n v="595310"/>
    <n v="353540"/>
    <n v="948850"/>
    <n v="333564"/>
    <n v="347826"/>
    <n v="681390"/>
    <n v="261746"/>
    <n v="5714"/>
    <n v="267460"/>
    <n v="50928"/>
    <n v="28767"/>
    <n v="79695"/>
    <n v="29033"/>
    <n v="28295"/>
    <n v="57328"/>
    <n v="21895"/>
    <n v="473"/>
    <n v="22367"/>
  </r>
  <r>
    <s v="Dec"/>
    <x v="23"/>
    <x v="1"/>
    <n v="601388"/>
    <n v="360608"/>
    <n v="961996"/>
    <n v="339647"/>
    <n v="355228"/>
    <n v="694875"/>
    <n v="261740"/>
    <n v="5380"/>
    <n v="267120"/>
    <n v="47613"/>
    <n v="26264"/>
    <n v="73876"/>
    <n v="28894"/>
    <n v="25840"/>
    <n v="54734"/>
    <n v="18719"/>
    <n v="424"/>
    <n v="19143"/>
  </r>
  <r>
    <s v="Jan"/>
    <x v="24"/>
    <x v="2"/>
    <n v="606955"/>
    <n v="366700"/>
    <n v="973655"/>
    <n v="347575"/>
    <n v="361795"/>
    <n v="709370"/>
    <n v="259380"/>
    <n v="4905"/>
    <n v="264284"/>
    <n v="42480"/>
    <n v="24484"/>
    <n v="66964"/>
    <n v="26166"/>
    <n v="24130"/>
    <n v="50296"/>
    <n v="16314"/>
    <n v="354"/>
    <n v="16668"/>
  </r>
  <r>
    <s v="Feb"/>
    <x v="25"/>
    <x v="2"/>
    <n v="616937"/>
    <n v="368343"/>
    <n v="985280"/>
    <n v="357783"/>
    <n v="363413"/>
    <n v="721196"/>
    <n v="259154"/>
    <n v="4930"/>
    <n v="264084"/>
    <n v="42349"/>
    <n v="24044"/>
    <n v="66393"/>
    <n v="26168"/>
    <n v="23701"/>
    <n v="49868"/>
    <n v="16181"/>
    <n v="344"/>
    <n v="16524"/>
  </r>
  <r>
    <s v="Mar"/>
    <x v="26"/>
    <x v="2"/>
    <n v="617525"/>
    <n v="371970"/>
    <n v="989496"/>
    <n v="353443"/>
    <n v="367107"/>
    <n v="720551"/>
    <n v="264082"/>
    <n v="4863"/>
    <n v="268945"/>
    <n v="44647"/>
    <n v="28345"/>
    <n v="72992"/>
    <n v="26867"/>
    <n v="27987"/>
    <n v="54854"/>
    <n v="17780"/>
    <n v="358"/>
    <n v="18139"/>
  </r>
  <r>
    <s v="Apr"/>
    <x v="27"/>
    <x v="2"/>
    <n v="618860"/>
    <n v="374054"/>
    <n v="992914"/>
    <n v="350256"/>
    <n v="369284"/>
    <n v="719540"/>
    <n v="268603"/>
    <n v="4770"/>
    <n v="273374"/>
    <n v="48564"/>
    <n v="31009"/>
    <n v="79572"/>
    <n v="27969"/>
    <n v="30618"/>
    <n v="58587"/>
    <n v="20595"/>
    <n v="391"/>
    <n v="20985"/>
  </r>
  <r>
    <s v="May"/>
    <x v="28"/>
    <x v="2"/>
    <n v="619373"/>
    <n v="371364"/>
    <n v="990737"/>
    <n v="348464"/>
    <n v="366618"/>
    <n v="715082"/>
    <n v="270909"/>
    <n v="4746"/>
    <n v="275655"/>
    <n v="51870"/>
    <n v="32670"/>
    <n v="84540"/>
    <n v="28868"/>
    <n v="32262"/>
    <n v="61131"/>
    <n v="23002"/>
    <n v="408"/>
    <n v="23409"/>
  </r>
  <r>
    <s v="Jun"/>
    <x v="29"/>
    <x v="2"/>
    <n v="615823"/>
    <n v="368083"/>
    <n v="983906"/>
    <n v="344538"/>
    <n v="363134"/>
    <n v="707673"/>
    <n v="271285"/>
    <n v="4949"/>
    <n v="276233"/>
    <n v="55014"/>
    <n v="34187"/>
    <n v="89201"/>
    <n v="29385"/>
    <n v="33726"/>
    <n v="63111"/>
    <n v="25630"/>
    <n v="461"/>
    <n v="26091"/>
  </r>
  <r>
    <s v="Jul"/>
    <x v="30"/>
    <x v="2"/>
    <n v="617925"/>
    <n v="367065"/>
    <n v="984990"/>
    <n v="344256"/>
    <n v="362054"/>
    <n v="706309"/>
    <n v="273669"/>
    <n v="5012"/>
    <n v="278681"/>
    <n v="56133"/>
    <n v="34594"/>
    <n v="90727"/>
    <n v="29132"/>
    <n v="34149"/>
    <n v="63280"/>
    <n v="27002"/>
    <n v="445"/>
    <n v="27447"/>
  </r>
  <r>
    <s v="Aug"/>
    <x v="31"/>
    <x v="2"/>
    <n v="619983"/>
    <n v="366894"/>
    <n v="986876"/>
    <n v="346324"/>
    <n v="361860"/>
    <n v="708184"/>
    <n v="273659"/>
    <n v="5034"/>
    <n v="278693"/>
    <n v="57499"/>
    <n v="34565"/>
    <n v="92064"/>
    <n v="29568"/>
    <n v="34118"/>
    <n v="63686"/>
    <n v="27931"/>
    <n v="447"/>
    <n v="28378"/>
  </r>
  <r>
    <s v="Sep"/>
    <x v="32"/>
    <x v="2"/>
    <n v="616654"/>
    <n v="375695"/>
    <n v="992349"/>
    <n v="347753"/>
    <n v="370275"/>
    <n v="718028"/>
    <n v="268901"/>
    <n v="5420"/>
    <n v="274321"/>
    <n v="57733"/>
    <n v="34474"/>
    <n v="92206"/>
    <n v="30735"/>
    <n v="33964"/>
    <n v="64700"/>
    <n v="26997"/>
    <n v="510"/>
    <n v="27507"/>
  </r>
  <r>
    <s v="Oct"/>
    <x v="33"/>
    <x v="2"/>
    <n v="632332"/>
    <n v="383645"/>
    <n v="1015977"/>
    <n v="350013"/>
    <n v="378517"/>
    <n v="728530"/>
    <n v="282319"/>
    <n v="5128"/>
    <n v="287446"/>
    <n v="58451"/>
    <n v="35401"/>
    <n v="93852"/>
    <n v="31782"/>
    <n v="34942"/>
    <n v="66724"/>
    <n v="26669"/>
    <n v="458"/>
    <n v="27127"/>
  </r>
  <r>
    <s v="Nov"/>
    <x v="34"/>
    <x v="2"/>
    <n v="624379"/>
    <n v="391674"/>
    <n v="1016054"/>
    <n v="352185"/>
    <n v="386325"/>
    <n v="738510"/>
    <n v="272194"/>
    <n v="5350"/>
    <n v="277544"/>
    <n v="53460"/>
    <n v="31903"/>
    <n v="85362"/>
    <n v="30846"/>
    <n v="31463"/>
    <n v="62310"/>
    <n v="22613"/>
    <n v="440"/>
    <n v="23053"/>
  </r>
  <r>
    <s v="Dec"/>
    <x v="35"/>
    <x v="2"/>
    <n v="628795"/>
    <n v="402840"/>
    <n v="1031635"/>
    <n v="352717"/>
    <n v="397351"/>
    <n v="750069"/>
    <n v="276078"/>
    <n v="5489"/>
    <n v="281566"/>
    <n v="50110"/>
    <n v="29425"/>
    <n v="79535"/>
    <n v="30180"/>
    <n v="28986"/>
    <n v="59166"/>
    <n v="19930"/>
    <n v="440"/>
    <n v="20369"/>
  </r>
  <r>
    <s v="Jan"/>
    <x v="36"/>
    <x v="3"/>
    <n v="625218"/>
    <n v="408043"/>
    <n v="1033261"/>
    <n v="357245"/>
    <n v="402151"/>
    <n v="759396"/>
    <n v="267973"/>
    <n v="5893"/>
    <n v="273865"/>
    <n v="43474"/>
    <n v="27379"/>
    <n v="70853"/>
    <n v="26769"/>
    <n v="26959"/>
    <n v="53727"/>
    <n v="16705"/>
    <n v="421"/>
    <n v="17126"/>
  </r>
  <r>
    <s v="Feb"/>
    <x v="37"/>
    <x v="3"/>
    <n v="626814"/>
    <n v="410713"/>
    <n v="1037527"/>
    <n v="360244"/>
    <n v="404636"/>
    <n v="764880"/>
    <n v="266570"/>
    <n v="6076"/>
    <n v="272646"/>
    <n v="43419"/>
    <n v="27030"/>
    <n v="70449"/>
    <n v="26773"/>
    <n v="26608"/>
    <n v="53381"/>
    <n v="16647"/>
    <n v="422"/>
    <n v="17068"/>
  </r>
  <r>
    <s v="Mar"/>
    <x v="38"/>
    <x v="3"/>
    <n v="642472"/>
    <n v="410428"/>
    <n v="1052899"/>
    <n v="372201"/>
    <n v="404061"/>
    <n v="776261"/>
    <n v="270271"/>
    <n v="6367"/>
    <n v="276638"/>
    <n v="47355"/>
    <n v="31608"/>
    <n v="78963"/>
    <n v="28971"/>
    <n v="31145"/>
    <n v="60115"/>
    <n v="18384"/>
    <n v="463"/>
    <n v="18848"/>
  </r>
  <r>
    <s v="Apr"/>
    <x v="39"/>
    <x v="3"/>
    <n v="671296"/>
    <n v="413666"/>
    <n v="1084961"/>
    <n v="390372"/>
    <n v="407157"/>
    <n v="797529"/>
    <n v="280923"/>
    <n v="6509"/>
    <n v="287432"/>
    <n v="53293"/>
    <n v="34366"/>
    <n v="87659"/>
    <n v="31675"/>
    <n v="33808"/>
    <n v="65483"/>
    <n v="21619"/>
    <n v="558"/>
    <n v="22176"/>
  </r>
  <r>
    <s v="May"/>
    <x v="40"/>
    <x v="3"/>
    <n v="688688"/>
    <n v="418881"/>
    <n v="1107569"/>
    <n v="403390"/>
    <n v="412208"/>
    <n v="815598"/>
    <n v="285299"/>
    <n v="6673"/>
    <n v="291971"/>
    <n v="57578"/>
    <n v="36904"/>
    <n v="94482"/>
    <n v="33609"/>
    <n v="36339"/>
    <n v="69949"/>
    <n v="23968"/>
    <n v="565"/>
    <n v="24533"/>
  </r>
  <r>
    <s v="Jun"/>
    <x v="41"/>
    <x v="3"/>
    <n v="691761"/>
    <n v="421663"/>
    <n v="1113424"/>
    <n v="397434"/>
    <n v="415165"/>
    <n v="812599"/>
    <n v="294327"/>
    <n v="6498"/>
    <n v="300825"/>
    <n v="62115"/>
    <n v="39300"/>
    <n v="101415"/>
    <n v="34168"/>
    <n v="38699"/>
    <n v="72867"/>
    <n v="27947"/>
    <n v="600"/>
    <n v="28548"/>
  </r>
  <r>
    <s v="Jul"/>
    <x v="42"/>
    <x v="3"/>
    <n v="691677"/>
    <n v="423039"/>
    <n v="1114716"/>
    <n v="399186"/>
    <n v="416421"/>
    <n v="815607"/>
    <n v="292491"/>
    <n v="6618"/>
    <n v="299109"/>
    <n v="62989"/>
    <n v="39923"/>
    <n v="102912"/>
    <n v="34092"/>
    <n v="39328"/>
    <n v="73420"/>
    <n v="28897"/>
    <n v="595"/>
    <n v="29492"/>
  </r>
  <r>
    <s v="Aug"/>
    <x v="43"/>
    <x v="3"/>
    <n v="694400"/>
    <n v="427507"/>
    <n v="1121907"/>
    <n v="400062"/>
    <n v="420742"/>
    <n v="820804"/>
    <n v="294338"/>
    <n v="6765"/>
    <n v="301103"/>
    <n v="64557"/>
    <n v="40017"/>
    <n v="104574"/>
    <n v="34335"/>
    <n v="39413"/>
    <n v="73748"/>
    <n v="30221"/>
    <n v="605"/>
    <n v="30826"/>
  </r>
  <r>
    <s v="Sep"/>
    <x v="44"/>
    <x v="3"/>
    <n v="691511"/>
    <n v="432381"/>
    <n v="1123892"/>
    <n v="398498"/>
    <n v="425703"/>
    <n v="824201"/>
    <n v="293013"/>
    <n v="6678"/>
    <n v="299691"/>
    <n v="64693"/>
    <n v="39544"/>
    <n v="104237"/>
    <n v="35073"/>
    <n v="38922"/>
    <n v="73995"/>
    <n v="29620"/>
    <n v="622"/>
    <n v="30242"/>
  </r>
  <r>
    <s v="Oct"/>
    <x v="45"/>
    <x v="3"/>
    <n v="691585"/>
    <n v="431164"/>
    <n v="1122749"/>
    <n v="403837"/>
    <n v="424657"/>
    <n v="828494"/>
    <n v="287748"/>
    <n v="6507"/>
    <n v="294256"/>
    <n v="62909"/>
    <n v="39614"/>
    <n v="102523"/>
    <n v="35897"/>
    <n v="39030"/>
    <n v="74927"/>
    <n v="27013"/>
    <n v="584"/>
    <n v="27597"/>
  </r>
  <r>
    <s v="Nov"/>
    <x v="46"/>
    <x v="3"/>
    <n v="680526"/>
    <n v="436437"/>
    <n v="1116962"/>
    <n v="400344"/>
    <n v="429850"/>
    <n v="830195"/>
    <n v="280181"/>
    <n v="6587"/>
    <n v="286768"/>
    <n v="57616"/>
    <n v="35945"/>
    <n v="93561"/>
    <n v="34432"/>
    <n v="35388"/>
    <n v="69820"/>
    <n v="23184"/>
    <n v="557"/>
    <n v="23741"/>
  </r>
  <r>
    <s v="Dec"/>
    <x v="47"/>
    <x v="3"/>
    <n v="684481"/>
    <n v="439017"/>
    <n v="1123497"/>
    <n v="394237"/>
    <n v="433108"/>
    <n v="827345"/>
    <n v="290244"/>
    <n v="5909"/>
    <n v="296153"/>
    <n v="54150"/>
    <n v="32378"/>
    <n v="86527"/>
    <n v="33312"/>
    <n v="31911"/>
    <n v="65223"/>
    <n v="20838"/>
    <n v="467"/>
    <n v="21305"/>
  </r>
  <r>
    <s v="Jan"/>
    <x v="48"/>
    <x v="4"/>
    <n v="701883"/>
    <n v="438958"/>
    <n v="1140841"/>
    <n v="398241"/>
    <n v="433164"/>
    <n v="831405"/>
    <n v="303643"/>
    <n v="5794"/>
    <n v="309437"/>
    <n v="48064"/>
    <n v="29521"/>
    <n v="77586"/>
    <n v="29791"/>
    <n v="29125"/>
    <n v="58916"/>
    <n v="18273"/>
    <n v="396"/>
    <n v="186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E7C57F-45CD-4FBD-81D9-2C0E36CB33C6}"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4:C5" firstHeaderRow="1" firstDataRow="1" firstDataCol="0" rowPageCount="1" colPageCount="1"/>
  <pivotFields count="25">
    <pivotField showAll="0"/>
    <pivotField showAll="0">
      <items count="13">
        <item x="0"/>
        <item x="1"/>
        <item x="2"/>
        <item x="3"/>
        <item x="4"/>
        <item x="5"/>
        <item x="6"/>
        <item x="7"/>
        <item x="8"/>
        <item x="9"/>
        <item x="10"/>
        <item x="11"/>
        <item t="default"/>
      </items>
    </pivotField>
    <pivotField numFmtId="17"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Page" showAll="0">
      <items count="6">
        <item x="0"/>
        <item x="1"/>
        <item x="2"/>
        <item x="3"/>
        <item x="4"/>
        <item t="default"/>
      </items>
    </pivotField>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dataField="1" numFmtId="43" showAll="0"/>
    <pivotField numFmtId="43" showAll="0"/>
    <pivotField numFmtId="43" showAll="0"/>
    <pivotField numFmtId="43" showAll="0"/>
    <pivotField numFmtId="43" showAll="0"/>
    <pivotField showAll="0" defaultSubtotal="0"/>
    <pivotField showAll="0" defaultSubtotal="0"/>
    <pivotField showAll="0" defaultSubtotal="0">
      <items count="7">
        <item x="0"/>
        <item x="1"/>
        <item x="2"/>
        <item x="3"/>
        <item x="4"/>
        <item x="5"/>
        <item x="6"/>
      </items>
    </pivotField>
  </pivotFields>
  <rowItems count="1">
    <i/>
  </rowItems>
  <colItems count="1">
    <i/>
  </colItems>
  <pageFields count="1">
    <pageField fld="3" item="4" hier="-1"/>
  </pageFields>
  <dataFields count="1">
    <dataField name="Sum of current.private.residential" fld="17"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B2A27E-53CD-4F81-AF9F-C1E4B5B67935}"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G6:I19" firstHeaderRow="0" firstDataRow="1" firstDataCol="1" rowPageCount="1" colPageCount="1"/>
  <pivotFields count="25">
    <pivotField showAll="0"/>
    <pivotField axis="axisRow" showAll="0">
      <items count="13">
        <item x="0"/>
        <item x="1"/>
        <item x="2"/>
        <item x="3"/>
        <item x="4"/>
        <item x="5"/>
        <item x="6"/>
        <item x="7"/>
        <item x="8"/>
        <item x="9"/>
        <item x="10"/>
        <item x="11"/>
        <item t="default"/>
      </items>
    </pivotField>
    <pivotField numFmtId="17"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Page" showAll="0">
      <items count="6">
        <item x="0"/>
        <item x="1"/>
        <item x="2"/>
        <item x="3"/>
        <item x="4"/>
        <item t="default"/>
      </items>
    </pivotField>
    <pivotField dataField="1" numFmtId="43" showAll="0"/>
    <pivotField dataField="1"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pageFields count="1">
    <pageField fld="3" item="0" hier="-1"/>
  </pageFields>
  <dataFields count="2">
    <dataField name="Residential" fld="5" baseField="0" baseItem="0" numFmtId="43"/>
    <dataField name="Nonresidential" fld="4" baseField="0" baseItem="0" numFmtId="43"/>
  </dataFields>
  <formats count="1">
    <format dxfId="1">
      <pivotArea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9669DC-6D24-4375-A837-5E8E4F6653B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I25:K31" firstHeaderRow="0" firstDataRow="1" firstDataCol="1" rowPageCount="1" colPageCount="1"/>
  <pivotFields count="25">
    <pivotField showAll="0"/>
    <pivotField axis="axisPage" showAll="0">
      <items count="13">
        <item x="0"/>
        <item x="1"/>
        <item x="2"/>
        <item x="3"/>
        <item x="4"/>
        <item x="5"/>
        <item x="6"/>
        <item x="7"/>
        <item x="8"/>
        <item x="9"/>
        <item x="10"/>
        <item x="11"/>
        <item t="default"/>
      </items>
    </pivotField>
    <pivotField numFmtId="17"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showAll="0">
      <items count="6">
        <item x="0"/>
        <item x="1"/>
        <item x="2"/>
        <item x="3"/>
        <item x="4"/>
        <item t="default"/>
      </items>
    </pivotField>
    <pivotField numFmtId="43" showAll="0"/>
    <pivotField numFmtId="43" showAll="0"/>
    <pivotField numFmtId="43" showAll="0"/>
    <pivotField dataField="1" numFmtId="43" showAll="0"/>
    <pivotField numFmtId="43" showAll="0"/>
    <pivotField numFmtId="43" showAll="0"/>
    <pivotField dataField="1"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showAll="0" defaultSubtotal="0"/>
    <pivotField showAll="0" defaultSubtotal="0"/>
    <pivotField showAll="0" defaultSubtotal="0">
      <items count="7">
        <item x="0"/>
        <item x="1"/>
        <item x="2"/>
        <item x="3"/>
        <item x="4"/>
        <item x="5"/>
        <item x="6"/>
      </items>
    </pivotField>
  </pivotFields>
  <rowFields count="1">
    <field x="3"/>
  </rowFields>
  <rowItems count="6">
    <i>
      <x/>
    </i>
    <i>
      <x v="1"/>
    </i>
    <i>
      <x v="2"/>
    </i>
    <i>
      <x v="3"/>
    </i>
    <i>
      <x v="4"/>
    </i>
    <i t="grand">
      <x/>
    </i>
  </rowItems>
  <colFields count="1">
    <field x="-2"/>
  </colFields>
  <colItems count="2">
    <i>
      <x/>
    </i>
    <i i="1">
      <x v="1"/>
    </i>
  </colItems>
  <pageFields count="1">
    <pageField fld="1" hier="-1"/>
  </pageFields>
  <dataFields count="2">
    <dataField name="Private" fld="7" baseField="0" baseItem="0" numFmtId="43"/>
    <dataField name="Public" fld="10" baseField="0" baseItem="0" numFmtId="43"/>
  </dataFields>
  <formats count="2">
    <format dxfId="3">
      <pivotArea outline="0" collapsedLevelsAreSubtotals="1" fieldPosition="0"/>
    </format>
    <format dxfId="2">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8AF707-9F3C-479D-B9D6-2D4536797F9D}"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rowPageCount="1" colPageCount="1"/>
  <pivotFields count="24">
    <pivotField showAll="0"/>
    <pivotField numFmtId="17" showAll="0">
      <items count="170">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Page" showAll="0">
      <items count="16">
        <item m="1" x="5"/>
        <item m="1" x="6"/>
        <item m="1" x="7"/>
        <item m="1" x="8"/>
        <item m="1" x="9"/>
        <item m="1" x="10"/>
        <item m="1" x="11"/>
        <item m="1" x="12"/>
        <item m="1" x="13"/>
        <item m="1" x="14"/>
        <item x="0"/>
        <item x="1"/>
        <item x="2"/>
        <item x="3"/>
        <item x="4"/>
        <item t="default"/>
      </items>
    </pivotField>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dataField="1" numFmtId="43"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8">
        <item x="1"/>
        <item x="2"/>
        <item x="3"/>
        <item x="4"/>
        <item x="5"/>
        <item x="6"/>
        <item x="0"/>
        <item t="default"/>
      </items>
    </pivotField>
  </pivotFields>
  <rowItems count="1">
    <i/>
  </rowItems>
  <colItems count="1">
    <i/>
  </colItems>
  <pageFields count="1">
    <pageField fld="2" item="14" hier="-1"/>
  </pageFields>
  <dataFields count="1">
    <dataField name="Sum of current.public.nonresidential" fld="18" baseField="0" baseItem="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1A1A93-A0EC-423A-B44D-5AE168083ED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I4" firstHeaderRow="1" firstDataRow="1" firstDataCol="0" rowPageCount="1" colPageCount="1"/>
  <pivotFields count="25">
    <pivotField showAll="0"/>
    <pivotField showAll="0">
      <items count="13">
        <item x="0"/>
        <item x="1"/>
        <item x="2"/>
        <item x="3"/>
        <item x="4"/>
        <item x="5"/>
        <item x="6"/>
        <item x="7"/>
        <item x="8"/>
        <item x="9"/>
        <item x="10"/>
        <item x="11"/>
        <item t="default"/>
      </items>
    </pivotField>
    <pivotField numFmtId="17"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Page" showAll="0">
      <items count="6">
        <item x="0"/>
        <item x="1"/>
        <item x="2"/>
        <item x="3"/>
        <item x="4"/>
        <item t="default"/>
      </items>
    </pivotField>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dataField="1" numFmtId="43" showAll="0"/>
    <pivotField numFmtId="43" showAll="0"/>
    <pivotField showAll="0" defaultSubtotal="0"/>
    <pivotField showAll="0" defaultSubtotal="0"/>
    <pivotField showAll="0" defaultSubtotal="0">
      <items count="7">
        <item x="0"/>
        <item x="1"/>
        <item x="2"/>
        <item x="3"/>
        <item x="4"/>
        <item x="5"/>
        <item x="6"/>
      </items>
    </pivotField>
  </pivotFields>
  <rowItems count="1">
    <i/>
  </rowItems>
  <colItems count="1">
    <i/>
  </colItems>
  <pageFields count="1">
    <pageField fld="3" item="4" hier="-1"/>
  </pageFields>
  <dataFields count="1">
    <dataField name="Sum of current.public.residential" fld="20" baseField="0" baseItem="0" numFmtId="43"/>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05B825-8344-4D3C-A524-92A8307F8F0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C25:E31" firstHeaderRow="0" firstDataRow="1" firstDataCol="1" rowPageCount="1" colPageCount="1"/>
  <pivotFields count="25">
    <pivotField showAll="0"/>
    <pivotField axis="axisPage" showAll="0">
      <items count="13">
        <item x="0"/>
        <item x="1"/>
        <item x="2"/>
        <item x="3"/>
        <item x="4"/>
        <item x="5"/>
        <item x="6"/>
        <item x="7"/>
        <item x="8"/>
        <item x="9"/>
        <item x="10"/>
        <item x="11"/>
        <item t="default"/>
      </items>
    </pivotField>
    <pivotField numFmtId="17"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showAll="0">
      <items count="6">
        <item x="0"/>
        <item x="1"/>
        <item x="2"/>
        <item x="3"/>
        <item x="4"/>
        <item t="default"/>
      </items>
    </pivotField>
    <pivotField numFmtId="43" showAll="0"/>
    <pivotField numFmtId="43" showAll="0"/>
    <pivotField numFmtId="43" showAll="0"/>
    <pivotField numFmtId="43" showAll="0"/>
    <pivotField dataField="1" numFmtId="43" showAll="0"/>
    <pivotField numFmtId="43" showAll="0"/>
    <pivotField numFmtId="43" showAll="0"/>
    <pivotField dataField="1"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showAll="0" defaultSubtotal="0"/>
    <pivotField showAll="0" defaultSubtotal="0"/>
    <pivotField showAll="0" defaultSubtotal="0">
      <items count="7">
        <item x="0"/>
        <item x="1"/>
        <item x="2"/>
        <item x="3"/>
        <item x="4"/>
        <item x="5"/>
        <item x="6"/>
      </items>
    </pivotField>
  </pivotFields>
  <rowFields count="1">
    <field x="3"/>
  </rowFields>
  <rowItems count="6">
    <i>
      <x/>
    </i>
    <i>
      <x v="1"/>
    </i>
    <i>
      <x v="2"/>
    </i>
    <i>
      <x v="3"/>
    </i>
    <i>
      <x v="4"/>
    </i>
    <i t="grand">
      <x/>
    </i>
  </rowItems>
  <colFields count="1">
    <field x="-2"/>
  </colFields>
  <colItems count="2">
    <i>
      <x/>
    </i>
    <i i="1">
      <x v="1"/>
    </i>
  </colItems>
  <pageFields count="1">
    <pageField fld="1" hier="-1"/>
  </pageFields>
  <dataFields count="2">
    <dataField name="Private" fld="8" baseField="0" baseItem="0" numFmtId="43"/>
    <dataField name="Public" fld="11" baseField="0" baseItem="0" numFmtId="43"/>
  </dataFields>
  <formats count="2">
    <format dxfId="7">
      <pivotArea outline="0" collapsedLevelsAreSubtotals="1" fieldPosition="0"/>
    </format>
    <format dxfId="6">
      <pivotArea dataOnly="0" labelOnly="1" outline="0" fieldPosition="0">
        <references count="1">
          <reference field="4294967294" count="2">
            <x v="0"/>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03DF58-4C09-4989-BB98-215311C39DD5}"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C35:E41" firstHeaderRow="0" firstDataRow="1" firstDataCol="1" rowPageCount="1" colPageCount="1"/>
  <pivotFields count="25">
    <pivotField showAll="0"/>
    <pivotField showAll="0">
      <items count="13">
        <item x="0"/>
        <item x="1"/>
        <item x="2"/>
        <item x="3"/>
        <item x="4"/>
        <item x="5"/>
        <item x="6"/>
        <item x="7"/>
        <item x="8"/>
        <item x="9"/>
        <item x="10"/>
        <item x="11"/>
        <item t="default"/>
      </items>
    </pivotField>
    <pivotField axis="axisRow" numFmtId="17"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Page" showAll="0">
      <items count="6">
        <item x="0"/>
        <item x="1"/>
        <item x="2"/>
        <item x="3"/>
        <item x="4"/>
        <item t="default"/>
      </items>
    </pivotField>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dataField="1" numFmtId="43" showAll="0"/>
    <pivotField numFmtId="43" showAll="0"/>
    <pivotField numFmtId="43" showAll="0"/>
    <pivotField dataField="1" numFmtId="43"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s>
  <rowFields count="4">
    <field x="24"/>
    <field x="23"/>
    <field x="22"/>
    <field x="2"/>
  </rowFields>
  <rowItems count="6">
    <i>
      <x v="1"/>
    </i>
    <i>
      <x v="2"/>
    </i>
    <i>
      <x v="3"/>
    </i>
    <i>
      <x v="4"/>
    </i>
    <i>
      <x v="5"/>
    </i>
    <i t="grand">
      <x/>
    </i>
  </rowItems>
  <colFields count="1">
    <field x="-2"/>
  </colFields>
  <colItems count="2">
    <i>
      <x/>
    </i>
    <i i="1">
      <x v="1"/>
    </i>
  </colItems>
  <pageFields count="1">
    <pageField fld="3" hier="-1"/>
  </pageFields>
  <dataFields count="2">
    <dataField name="private.total construction" fld="18" baseField="0" baseItem="0" numFmtId="43"/>
    <dataField name="public.total construction" fld="21" baseField="0" baseItem="0" numFmtId="4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173349-2631-40B6-8E90-F0864F31B71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1" colPageCount="1"/>
  <pivotFields count="24">
    <pivotField showAll="0"/>
    <pivotField numFmtId="17" showAll="0">
      <items count="170">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Page" showAll="0">
      <items count="16">
        <item m="1" x="5"/>
        <item m="1" x="6"/>
        <item m="1" x="7"/>
        <item m="1" x="8"/>
        <item m="1" x="9"/>
        <item m="1" x="10"/>
        <item m="1" x="11"/>
        <item m="1" x="12"/>
        <item m="1" x="13"/>
        <item m="1" x="14"/>
        <item x="0"/>
        <item x="1"/>
        <item x="2"/>
        <item x="3"/>
        <item x="4"/>
        <item t="default"/>
      </items>
    </pivotField>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dataField="1" numFmtId="43" showAll="0"/>
    <pivotField numFmtId="43" showAll="0"/>
    <pivotField numFmtId="43" showAll="0"/>
    <pivotField numFmtId="43"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8">
        <item x="1"/>
        <item x="2"/>
        <item x="3"/>
        <item x="4"/>
        <item x="5"/>
        <item x="6"/>
        <item x="0"/>
        <item t="default"/>
      </items>
    </pivotField>
  </pivotFields>
  <rowItems count="1">
    <i/>
  </rowItems>
  <colItems count="1">
    <i/>
  </colItems>
  <pageFields count="1">
    <pageField fld="2" item="14" hier="-1"/>
  </pageFields>
  <dataFields count="1">
    <dataField name="Sum of current.private.nonresidential" fld="15" baseField="0" baseItem="0" numFmtId="43"/>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A3F993C-341A-4404-9D80-D260121B7E54}" sourceName="Month">
  <pivotTables>
    <pivotTable tabId="2" name="PivotTable7"/>
    <pivotTable tabId="2" name="PivotTable11"/>
    <pivotTable tabId="2" name="PivotTable2"/>
    <pivotTable tabId="2" name="PivotTable3"/>
    <pivotTable tabId="2" name="PivotTable8"/>
    <pivotTable tabId="2" name="PivotTable9"/>
  </pivotTables>
  <data>
    <tabular pivotCacheId="892618356">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0FE2009-B9D6-457C-9BD1-F4EB241C1BEC}" cache="Slicer_Month" caption="Month" style="Slicer Style 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D73CD2-C64C-4DDB-9648-1FD53E049232}" name="Table1" displayName="Table1" ref="A1:V50" totalsRowShown="0" headerRowDxfId="32" dataDxfId="31" headerRowCellStyle="Comma" dataCellStyle="Comma">
  <autoFilter ref="A1:V50" xr:uid="{AFD73CD2-C64C-4DDB-9648-1FD53E049232}"/>
  <tableColumns count="22">
    <tableColumn id="1" xr3:uid="{9D4CE1D0-99FC-4D3D-9AA1-AC8D59AF9087}" name="time.index" dataDxfId="30"/>
    <tableColumn id="2" xr3:uid="{24676EED-125F-44B3-AFCE-917509656BAE}" name="Month" dataDxfId="29"/>
    <tableColumn id="3" xr3:uid="{8AAAAC13-A65B-4C82-9C02-16FD54F669DD}" name="Period" dataDxfId="28"/>
    <tableColumn id="4" xr3:uid="{57311DB7-0B73-4658-837C-566E082C6688}" name="Year" dataDxfId="27"/>
    <tableColumn id="5" xr3:uid="{AC698645-B16A-486E-AF7C-BBD598A40C9F}" name="annual.combined.nonresidential" dataDxfId="26" dataCellStyle="Comma"/>
    <tableColumn id="6" xr3:uid="{F6EDC014-D0AD-46E8-9DE8-12CF7467E541}" name="annual.combined.residential" dataDxfId="25" dataCellStyle="Comma"/>
    <tableColumn id="7" xr3:uid="{AE6F7AC0-4512-4EE0-9594-99AD27625EC8}" name="annual.combined.total construction" dataDxfId="24" dataCellStyle="Comma"/>
    <tableColumn id="8" xr3:uid="{852B678F-E161-4E9A-B49B-149CB442A6F4}" name="annual.private.nonresidential" dataDxfId="23" dataCellStyle="Comma"/>
    <tableColumn id="9" xr3:uid="{2F781362-26D7-495D-A007-1C2F35E29B32}" name="annual.private.residential" dataDxfId="22" dataCellStyle="Comma"/>
    <tableColumn id="10" xr3:uid="{830D0C36-6563-4DFF-B109-2CDCEF5729A4}" name="annual.private.total construction" dataDxfId="21" dataCellStyle="Comma"/>
    <tableColumn id="11" xr3:uid="{405E536D-00A6-4A50-916E-972727413FE6}" name="annual.public.nonresidential" dataDxfId="20" dataCellStyle="Comma"/>
    <tableColumn id="12" xr3:uid="{8C5CAD96-44D8-468A-B9B9-7A23E0432959}" name="annual.public.residential" dataDxfId="19" dataCellStyle="Comma"/>
    <tableColumn id="13" xr3:uid="{04858AD9-CA88-4CF4-9D39-FBEE3C0DD328}" name="annual.public.total construction" dataDxfId="18" dataCellStyle="Comma"/>
    <tableColumn id="14" xr3:uid="{6AAA1031-4603-44DA-8467-D73BAAEF9196}" name="current.combined.nonresidential" dataDxfId="17" dataCellStyle="Comma"/>
    <tableColumn id="15" xr3:uid="{2074D050-E588-4F22-A690-B9A9C33C8242}" name="current.combined.residential" dataDxfId="16" dataCellStyle="Comma"/>
    <tableColumn id="16" xr3:uid="{8F8260E9-0866-4467-88E9-B1F7986B0B91}" name="current.combined.total construction" dataDxfId="15" dataCellStyle="Comma"/>
    <tableColumn id="17" xr3:uid="{8C615216-6AB3-4CD4-992C-1AB0F5F249E5}" name="current.private.nonresidential" dataDxfId="14" dataCellStyle="Comma"/>
    <tableColumn id="18" xr3:uid="{978EEAED-C4EB-48F0-8DE5-9D232FE47E16}" name="current.private.residential" dataDxfId="13" dataCellStyle="Comma"/>
    <tableColumn id="19" xr3:uid="{FB9B2920-90F7-4C31-B001-CEE3F689904E}" name="current.private.total construction" dataDxfId="12" dataCellStyle="Comma"/>
    <tableColumn id="20" xr3:uid="{7C7653B1-D4D9-43CD-A9D4-E90C42295C52}" name="current.public.nonresidential" dataDxfId="11" dataCellStyle="Comma"/>
    <tableColumn id="21" xr3:uid="{467F317A-D8CA-4EBD-AC84-C88011AC7917}" name="current.public.residential" dataDxfId="10" dataCellStyle="Comma"/>
    <tableColumn id="22" xr3:uid="{AB95C50D-6191-4C14-96E8-53E9592E72DB}" name="current.public.total construction" dataDxfId="9"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eriod" xr10:uid="{728C1FCB-378B-48F1-AA11-AA3F4A051E00}" sourceName="Period">
  <pivotTables>
    <pivotTable tabId="2" name="PivotTable7"/>
    <pivotTable tabId="2" name="PivotTable11"/>
    <pivotTable tabId="2" name="PivotTable2"/>
    <pivotTable tabId="2" name="PivotTable3"/>
    <pivotTable tabId="2" name="PivotTable8"/>
    <pivotTable tabId="2" name="PivotTable9"/>
  </pivotTables>
  <state minimalRefreshVersion="6" lastRefreshVersion="6" pivotCacheId="892618356" filterType="unknown">
    <bounds startDate="2012-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eriod 1" xr10:uid="{490F6D6D-118D-4EE2-8EDB-B21F9CE6F903}" cache="NativeTimeline_Period" caption="Period" showSelectionLabel="0" showTimeLevel="0" showHorizontalScrollbar="0" level="0" selectionLevel="0" scrollPosition="2012-01-01T00:00:00" style="Timeline Style 2"/>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81C47-A5A2-4F4F-8549-1B1E629E70DF}">
  <dimension ref="U13"/>
  <sheetViews>
    <sheetView showGridLines="0" workbookViewId="0">
      <selection activeCell="U5" sqref="U5"/>
    </sheetView>
  </sheetViews>
  <sheetFormatPr defaultRowHeight="15" x14ac:dyDescent="0.25"/>
  <cols>
    <col min="1" max="16384" width="9.140625" style="1"/>
  </cols>
  <sheetData>
    <row r="13" spans="21:21" ht="21" x14ac:dyDescent="0.35">
      <c r="U13" s="1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3C114-2E04-49C2-AF79-7137647EEBCB}">
  <dimension ref="A1:X50"/>
  <sheetViews>
    <sheetView workbookViewId="0"/>
  </sheetViews>
  <sheetFormatPr defaultRowHeight="15" x14ac:dyDescent="0.25"/>
  <cols>
    <col min="1" max="1" width="12.85546875" style="6" customWidth="1"/>
    <col min="2" max="2" width="8.85546875" style="6" customWidth="1"/>
    <col min="3" max="4" width="9.140625" style="6"/>
    <col min="5" max="5" width="33.85546875" style="7" customWidth="1"/>
    <col min="6" max="6" width="30.42578125" style="7" customWidth="1"/>
    <col min="7" max="7" width="36.7109375" style="7" customWidth="1"/>
    <col min="8" max="8" width="31.140625" style="7" customWidth="1"/>
    <col min="9" max="9" width="27.7109375" style="7" customWidth="1"/>
    <col min="10" max="10" width="34" style="7" customWidth="1"/>
    <col min="11" max="11" width="30.42578125" style="7" customWidth="1"/>
    <col min="12" max="12" width="27" style="7" customWidth="1"/>
    <col min="13" max="13" width="33.28515625" style="7" customWidth="1"/>
    <col min="14" max="14" width="34.42578125" style="7" customWidth="1"/>
    <col min="15" max="15" width="31" style="7" customWidth="1"/>
    <col min="16" max="16" width="37.28515625" style="7" customWidth="1"/>
    <col min="17" max="17" width="31.7109375" style="7" customWidth="1"/>
    <col min="18" max="18" width="28.28515625" style="7" customWidth="1"/>
    <col min="19" max="19" width="34.5703125" style="7" customWidth="1"/>
    <col min="20" max="20" width="31" style="7" customWidth="1"/>
    <col min="21" max="21" width="27.5703125" style="7" customWidth="1"/>
    <col min="22" max="22" width="33.85546875" style="7" customWidth="1"/>
    <col min="23" max="24" width="9.140625" style="7"/>
    <col min="25" max="16384" width="9.140625" style="6"/>
  </cols>
  <sheetData>
    <row r="1" spans="1:22" x14ac:dyDescent="0.25">
      <c r="A1" s="6" t="s">
        <v>39</v>
      </c>
      <c r="B1" s="6" t="s">
        <v>30</v>
      </c>
      <c r="C1" s="6" t="s">
        <v>31</v>
      </c>
      <c r="D1" s="6" t="s">
        <v>32</v>
      </c>
      <c r="E1" s="7" t="s">
        <v>0</v>
      </c>
      <c r="F1" s="7" t="s">
        <v>1</v>
      </c>
      <c r="G1" s="9" t="s">
        <v>2</v>
      </c>
      <c r="H1" s="7" t="s">
        <v>3</v>
      </c>
      <c r="I1" s="7" t="s">
        <v>4</v>
      </c>
      <c r="J1" s="7" t="s">
        <v>5</v>
      </c>
      <c r="K1" s="7" t="s">
        <v>6</v>
      </c>
      <c r="L1" s="7" t="s">
        <v>7</v>
      </c>
      <c r="M1" s="7" t="s">
        <v>8</v>
      </c>
      <c r="N1" s="7" t="s">
        <v>9</v>
      </c>
      <c r="O1" s="7" t="s">
        <v>10</v>
      </c>
      <c r="P1" s="7" t="s">
        <v>11</v>
      </c>
      <c r="Q1" s="7" t="s">
        <v>12</v>
      </c>
      <c r="R1" s="7" t="s">
        <v>13</v>
      </c>
      <c r="S1" s="7" t="s">
        <v>14</v>
      </c>
      <c r="T1" s="7" t="s">
        <v>15</v>
      </c>
      <c r="U1" s="7" t="s">
        <v>16</v>
      </c>
      <c r="V1" s="7" t="s">
        <v>17</v>
      </c>
    </row>
    <row r="2" spans="1:22" x14ac:dyDescent="0.25">
      <c r="A2" s="6">
        <v>121</v>
      </c>
      <c r="B2" s="6" t="s">
        <v>18</v>
      </c>
      <c r="C2" s="8">
        <v>40909</v>
      </c>
      <c r="D2" s="6">
        <v>2012</v>
      </c>
      <c r="E2" s="7">
        <v>567241</v>
      </c>
      <c r="F2" s="7">
        <v>256134</v>
      </c>
      <c r="G2" s="7">
        <v>823375</v>
      </c>
      <c r="H2" s="7">
        <v>292515</v>
      </c>
      <c r="I2" s="7">
        <v>249174</v>
      </c>
      <c r="J2" s="7">
        <v>541688</v>
      </c>
      <c r="K2" s="7">
        <v>274726</v>
      </c>
      <c r="L2" s="7">
        <v>6961</v>
      </c>
      <c r="M2" s="7">
        <v>281687</v>
      </c>
      <c r="N2" s="7">
        <v>39710</v>
      </c>
      <c r="O2" s="7">
        <v>16898</v>
      </c>
      <c r="P2" s="7">
        <v>56608</v>
      </c>
      <c r="Q2" s="7">
        <v>22135</v>
      </c>
      <c r="R2" s="7">
        <v>16389</v>
      </c>
      <c r="S2" s="7">
        <v>38523</v>
      </c>
      <c r="T2" s="7">
        <v>17575</v>
      </c>
      <c r="U2" s="7">
        <v>510</v>
      </c>
      <c r="V2" s="7">
        <v>18084</v>
      </c>
    </row>
    <row r="3" spans="1:22" x14ac:dyDescent="0.25">
      <c r="A3" s="6">
        <v>122</v>
      </c>
      <c r="B3" s="6" t="s">
        <v>19</v>
      </c>
      <c r="C3" s="8">
        <v>40940</v>
      </c>
      <c r="D3" s="6">
        <v>2012</v>
      </c>
      <c r="E3" s="7">
        <v>568161</v>
      </c>
      <c r="F3" s="7">
        <v>257002</v>
      </c>
      <c r="G3" s="7">
        <v>825163</v>
      </c>
      <c r="H3" s="7">
        <v>291236</v>
      </c>
      <c r="I3" s="7">
        <v>250549</v>
      </c>
      <c r="J3" s="7">
        <v>541784</v>
      </c>
      <c r="K3" s="7">
        <v>276925</v>
      </c>
      <c r="L3" s="7">
        <v>6453</v>
      </c>
      <c r="M3" s="7">
        <v>283378</v>
      </c>
      <c r="N3" s="7">
        <v>40291</v>
      </c>
      <c r="O3" s="7">
        <v>16703</v>
      </c>
      <c r="P3" s="7">
        <v>56994</v>
      </c>
      <c r="Q3" s="7">
        <v>22337</v>
      </c>
      <c r="R3" s="7">
        <v>16218</v>
      </c>
      <c r="S3" s="7">
        <v>38555</v>
      </c>
      <c r="T3" s="7">
        <v>17954</v>
      </c>
      <c r="U3" s="7">
        <v>486</v>
      </c>
      <c r="V3" s="7">
        <v>18440</v>
      </c>
    </row>
    <row r="4" spans="1:22" x14ac:dyDescent="0.25">
      <c r="A4" s="6">
        <v>123</v>
      </c>
      <c r="B4" s="6" t="s">
        <v>20</v>
      </c>
      <c r="C4" s="8">
        <v>40969</v>
      </c>
      <c r="D4" s="6">
        <v>2012</v>
      </c>
      <c r="E4" s="7">
        <v>571468</v>
      </c>
      <c r="F4" s="7">
        <v>257200</v>
      </c>
      <c r="G4" s="7">
        <v>828668</v>
      </c>
      <c r="H4" s="7">
        <v>297493</v>
      </c>
      <c r="I4" s="7">
        <v>250973</v>
      </c>
      <c r="J4" s="7">
        <v>548466</v>
      </c>
      <c r="K4" s="7">
        <v>273975</v>
      </c>
      <c r="L4" s="7">
        <v>6226</v>
      </c>
      <c r="M4" s="7">
        <v>280202</v>
      </c>
      <c r="N4" s="7">
        <v>42500</v>
      </c>
      <c r="O4" s="7">
        <v>19303</v>
      </c>
      <c r="P4" s="7">
        <v>61803</v>
      </c>
      <c r="Q4" s="7">
        <v>23481</v>
      </c>
      <c r="R4" s="7">
        <v>18829</v>
      </c>
      <c r="S4" s="7">
        <v>42310</v>
      </c>
      <c r="T4" s="7">
        <v>19020</v>
      </c>
      <c r="U4" s="7">
        <v>474</v>
      </c>
      <c r="V4" s="7">
        <v>19494</v>
      </c>
    </row>
    <row r="5" spans="1:22" x14ac:dyDescent="0.25">
      <c r="A5" s="6">
        <v>124</v>
      </c>
      <c r="B5" s="6" t="s">
        <v>21</v>
      </c>
      <c r="C5" s="8">
        <v>41000</v>
      </c>
      <c r="D5" s="6">
        <v>2012</v>
      </c>
      <c r="E5" s="7">
        <v>573386</v>
      </c>
      <c r="F5" s="7">
        <v>261565</v>
      </c>
      <c r="G5" s="7">
        <v>834951</v>
      </c>
      <c r="H5" s="7">
        <v>301701</v>
      </c>
      <c r="I5" s="7">
        <v>255138</v>
      </c>
      <c r="J5" s="7">
        <v>556839</v>
      </c>
      <c r="K5" s="7">
        <v>271684</v>
      </c>
      <c r="L5" s="7">
        <v>6428</v>
      </c>
      <c r="M5" s="7">
        <v>278112</v>
      </c>
      <c r="N5" s="7">
        <v>45265</v>
      </c>
      <c r="O5" s="7">
        <v>21737</v>
      </c>
      <c r="P5" s="7">
        <v>67002</v>
      </c>
      <c r="Q5" s="7">
        <v>24484</v>
      </c>
      <c r="R5" s="7">
        <v>21207</v>
      </c>
      <c r="S5" s="7">
        <v>45691</v>
      </c>
      <c r="T5" s="7">
        <v>20780</v>
      </c>
      <c r="U5" s="7">
        <v>530</v>
      </c>
      <c r="V5" s="7">
        <v>21311</v>
      </c>
    </row>
    <row r="6" spans="1:22" x14ac:dyDescent="0.25">
      <c r="A6" s="6">
        <v>125</v>
      </c>
      <c r="B6" s="6" t="s">
        <v>22</v>
      </c>
      <c r="C6" s="8">
        <v>41030</v>
      </c>
      <c r="D6" s="6">
        <v>2012</v>
      </c>
      <c r="E6" s="7">
        <v>584148</v>
      </c>
      <c r="F6" s="7">
        <v>265199</v>
      </c>
      <c r="G6" s="7">
        <v>849347</v>
      </c>
      <c r="H6" s="7">
        <v>306375</v>
      </c>
      <c r="I6" s="7">
        <v>259103</v>
      </c>
      <c r="J6" s="7">
        <v>565478</v>
      </c>
      <c r="K6" s="7">
        <v>277773</v>
      </c>
      <c r="L6" s="7">
        <v>6096</v>
      </c>
      <c r="M6" s="7">
        <v>283869</v>
      </c>
      <c r="N6" s="7">
        <v>49106</v>
      </c>
      <c r="O6" s="7">
        <v>23122</v>
      </c>
      <c r="P6" s="7">
        <v>72228</v>
      </c>
      <c r="Q6" s="7">
        <v>25557</v>
      </c>
      <c r="R6" s="7">
        <v>22608</v>
      </c>
      <c r="S6" s="7">
        <v>48165</v>
      </c>
      <c r="T6" s="7">
        <v>23548</v>
      </c>
      <c r="U6" s="7">
        <v>514</v>
      </c>
      <c r="V6" s="7">
        <v>24063</v>
      </c>
    </row>
    <row r="7" spans="1:22" x14ac:dyDescent="0.25">
      <c r="A7" s="6">
        <v>126</v>
      </c>
      <c r="B7" s="6" t="s">
        <v>23</v>
      </c>
      <c r="C7" s="8">
        <v>41061</v>
      </c>
      <c r="D7" s="6">
        <v>2012</v>
      </c>
      <c r="E7" s="7">
        <v>588698</v>
      </c>
      <c r="F7" s="7">
        <v>270551</v>
      </c>
      <c r="G7" s="7">
        <v>859250</v>
      </c>
      <c r="H7" s="7">
        <v>306129</v>
      </c>
      <c r="I7" s="7">
        <v>264209</v>
      </c>
      <c r="J7" s="7">
        <v>570338</v>
      </c>
      <c r="K7" s="7">
        <v>282569</v>
      </c>
      <c r="L7" s="7">
        <v>6342</v>
      </c>
      <c r="M7" s="7">
        <v>288911</v>
      </c>
      <c r="N7" s="7">
        <v>52504</v>
      </c>
      <c r="O7" s="7">
        <v>25077</v>
      </c>
      <c r="P7" s="7">
        <v>77580</v>
      </c>
      <c r="Q7" s="7">
        <v>25842</v>
      </c>
      <c r="R7" s="7">
        <v>24515</v>
      </c>
      <c r="S7" s="7">
        <v>50356</v>
      </c>
      <c r="T7" s="7">
        <v>26662</v>
      </c>
      <c r="U7" s="7">
        <v>562</v>
      </c>
      <c r="V7" s="7">
        <v>27224</v>
      </c>
    </row>
    <row r="8" spans="1:22" x14ac:dyDescent="0.25">
      <c r="A8" s="6">
        <v>127</v>
      </c>
      <c r="B8" s="6" t="s">
        <v>24</v>
      </c>
      <c r="C8" s="8">
        <v>41091</v>
      </c>
      <c r="D8" s="6">
        <v>2012</v>
      </c>
      <c r="E8" s="7">
        <v>583801</v>
      </c>
      <c r="F8" s="7">
        <v>273501</v>
      </c>
      <c r="G8" s="7">
        <v>857301</v>
      </c>
      <c r="H8" s="7">
        <v>308669</v>
      </c>
      <c r="I8" s="7">
        <v>267291</v>
      </c>
      <c r="J8" s="7">
        <v>575959</v>
      </c>
      <c r="K8" s="7">
        <v>275132</v>
      </c>
      <c r="L8" s="7">
        <v>6210</v>
      </c>
      <c r="M8" s="7">
        <v>281342</v>
      </c>
      <c r="N8" s="7">
        <v>52493</v>
      </c>
      <c r="O8" s="7">
        <v>25812</v>
      </c>
      <c r="P8" s="7">
        <v>78305</v>
      </c>
      <c r="Q8" s="7">
        <v>25681</v>
      </c>
      <c r="R8" s="7">
        <v>25276</v>
      </c>
      <c r="S8" s="7">
        <v>50957</v>
      </c>
      <c r="T8" s="7">
        <v>26812</v>
      </c>
      <c r="U8" s="7">
        <v>536</v>
      </c>
      <c r="V8" s="7">
        <v>27348</v>
      </c>
    </row>
    <row r="9" spans="1:22" x14ac:dyDescent="0.25">
      <c r="A9" s="6">
        <v>128</v>
      </c>
      <c r="B9" s="6" t="s">
        <v>25</v>
      </c>
      <c r="C9" s="8">
        <v>41122</v>
      </c>
      <c r="D9" s="6">
        <v>2012</v>
      </c>
      <c r="E9" s="7">
        <v>577335</v>
      </c>
      <c r="F9" s="7">
        <v>280224</v>
      </c>
      <c r="G9" s="7">
        <v>857558</v>
      </c>
      <c r="H9" s="7">
        <v>303866</v>
      </c>
      <c r="I9" s="7">
        <v>273995</v>
      </c>
      <c r="J9" s="7">
        <v>577861</v>
      </c>
      <c r="K9" s="7">
        <v>273469</v>
      </c>
      <c r="L9" s="7">
        <v>6228</v>
      </c>
      <c r="M9" s="7">
        <v>279697</v>
      </c>
      <c r="N9" s="7">
        <v>54217</v>
      </c>
      <c r="O9" s="7">
        <v>26935</v>
      </c>
      <c r="P9" s="7">
        <v>81152</v>
      </c>
      <c r="Q9" s="7">
        <v>26020</v>
      </c>
      <c r="R9" s="7">
        <v>26371</v>
      </c>
      <c r="S9" s="7">
        <v>52392</v>
      </c>
      <c r="T9" s="7">
        <v>28197</v>
      </c>
      <c r="U9" s="7">
        <v>563</v>
      </c>
      <c r="V9" s="7">
        <v>28761</v>
      </c>
    </row>
    <row r="10" spans="1:22" x14ac:dyDescent="0.25">
      <c r="A10" s="6">
        <v>129</v>
      </c>
      <c r="B10" s="6" t="s">
        <v>26</v>
      </c>
      <c r="C10" s="8">
        <v>41153</v>
      </c>
      <c r="D10" s="6">
        <v>2012</v>
      </c>
      <c r="E10" s="7">
        <v>575081</v>
      </c>
      <c r="F10" s="7">
        <v>287277</v>
      </c>
      <c r="G10" s="7">
        <v>862358</v>
      </c>
      <c r="H10" s="7">
        <v>307535</v>
      </c>
      <c r="I10" s="7">
        <v>281260</v>
      </c>
      <c r="J10" s="7">
        <v>588795</v>
      </c>
      <c r="K10" s="7">
        <v>267546</v>
      </c>
      <c r="L10" s="7">
        <v>6017</v>
      </c>
      <c r="M10" s="7">
        <v>273563</v>
      </c>
      <c r="N10" s="7">
        <v>52903</v>
      </c>
      <c r="O10" s="7">
        <v>26501</v>
      </c>
      <c r="P10" s="7">
        <v>79404</v>
      </c>
      <c r="Q10" s="7">
        <v>26427</v>
      </c>
      <c r="R10" s="7">
        <v>25937</v>
      </c>
      <c r="S10" s="7">
        <v>52363</v>
      </c>
      <c r="T10" s="7">
        <v>26476</v>
      </c>
      <c r="U10" s="7">
        <v>565</v>
      </c>
      <c r="V10" s="7">
        <v>27040</v>
      </c>
    </row>
    <row r="11" spans="1:22" x14ac:dyDescent="0.25">
      <c r="A11" s="6">
        <v>130</v>
      </c>
      <c r="B11" s="6" t="s">
        <v>27</v>
      </c>
      <c r="C11" s="8">
        <v>41183</v>
      </c>
      <c r="D11" s="6">
        <v>2012</v>
      </c>
      <c r="E11" s="7">
        <v>574609</v>
      </c>
      <c r="F11" s="7">
        <v>295753</v>
      </c>
      <c r="G11" s="7">
        <v>870362</v>
      </c>
      <c r="H11" s="7">
        <v>305485</v>
      </c>
      <c r="I11" s="7">
        <v>289601</v>
      </c>
      <c r="J11" s="7">
        <v>595086</v>
      </c>
      <c r="K11" s="7">
        <v>269125</v>
      </c>
      <c r="L11" s="7">
        <v>6151</v>
      </c>
      <c r="M11" s="7">
        <v>275276</v>
      </c>
      <c r="N11" s="7">
        <v>52516</v>
      </c>
      <c r="O11" s="7">
        <v>27771</v>
      </c>
      <c r="P11" s="7">
        <v>80287</v>
      </c>
      <c r="Q11" s="7">
        <v>27508</v>
      </c>
      <c r="R11" s="7">
        <v>27241</v>
      </c>
      <c r="S11" s="7">
        <v>54749</v>
      </c>
      <c r="T11" s="7">
        <v>25008</v>
      </c>
      <c r="U11" s="7">
        <v>530</v>
      </c>
      <c r="V11" s="7">
        <v>25538</v>
      </c>
    </row>
    <row r="12" spans="1:22" x14ac:dyDescent="0.25">
      <c r="A12" s="6">
        <v>131</v>
      </c>
      <c r="B12" s="6" t="s">
        <v>28</v>
      </c>
      <c r="C12" s="8">
        <v>41214</v>
      </c>
      <c r="D12" s="6">
        <v>2012</v>
      </c>
      <c r="E12" s="7">
        <v>567098</v>
      </c>
      <c r="F12" s="7">
        <v>299758</v>
      </c>
      <c r="G12" s="7">
        <v>866855</v>
      </c>
      <c r="H12" s="7">
        <v>300283</v>
      </c>
      <c r="I12" s="7">
        <v>293589</v>
      </c>
      <c r="J12" s="7">
        <v>593872</v>
      </c>
      <c r="K12" s="7">
        <v>266815</v>
      </c>
      <c r="L12" s="7">
        <v>6169</v>
      </c>
      <c r="M12" s="7">
        <v>272983</v>
      </c>
      <c r="N12" s="7">
        <v>48734</v>
      </c>
      <c r="O12" s="7">
        <v>24338</v>
      </c>
      <c r="P12" s="7">
        <v>73071</v>
      </c>
      <c r="Q12" s="7">
        <v>26390</v>
      </c>
      <c r="R12" s="7">
        <v>23814</v>
      </c>
      <c r="S12" s="7">
        <v>50204</v>
      </c>
      <c r="T12" s="7">
        <v>22344</v>
      </c>
      <c r="U12" s="7">
        <v>524</v>
      </c>
      <c r="V12" s="7">
        <v>22868</v>
      </c>
    </row>
    <row r="13" spans="1:22" x14ac:dyDescent="0.25">
      <c r="A13" s="6">
        <v>132</v>
      </c>
      <c r="B13" s="6" t="s">
        <v>29</v>
      </c>
      <c r="C13" s="8">
        <v>41244</v>
      </c>
      <c r="D13" s="6">
        <v>2012</v>
      </c>
      <c r="E13" s="7">
        <v>564083</v>
      </c>
      <c r="F13" s="7">
        <v>301647</v>
      </c>
      <c r="G13" s="7">
        <v>865730</v>
      </c>
      <c r="H13" s="7">
        <v>303499</v>
      </c>
      <c r="I13" s="7">
        <v>295627</v>
      </c>
      <c r="J13" s="7">
        <v>599126</v>
      </c>
      <c r="K13" s="7">
        <v>260584</v>
      </c>
      <c r="L13" s="7">
        <v>6020</v>
      </c>
      <c r="M13" s="7">
        <v>266604</v>
      </c>
      <c r="N13" s="7">
        <v>44162</v>
      </c>
      <c r="O13" s="7">
        <v>21860</v>
      </c>
      <c r="P13" s="7">
        <v>66022</v>
      </c>
      <c r="Q13" s="7">
        <v>25500</v>
      </c>
      <c r="R13" s="7">
        <v>21380</v>
      </c>
      <c r="S13" s="7">
        <v>46880</v>
      </c>
      <c r="T13" s="7">
        <v>18662</v>
      </c>
      <c r="U13" s="7">
        <v>480</v>
      </c>
      <c r="V13" s="7">
        <v>19142</v>
      </c>
    </row>
    <row r="14" spans="1:22" x14ac:dyDescent="0.25">
      <c r="A14" s="6">
        <v>133</v>
      </c>
      <c r="B14" s="6" t="s">
        <v>18</v>
      </c>
      <c r="C14" s="8">
        <v>41275</v>
      </c>
      <c r="D14" s="6">
        <v>2013</v>
      </c>
      <c r="E14" s="7">
        <v>552088</v>
      </c>
      <c r="F14" s="7">
        <v>305322</v>
      </c>
      <c r="G14" s="7">
        <v>857410</v>
      </c>
      <c r="H14" s="7">
        <v>290942</v>
      </c>
      <c r="I14" s="7">
        <v>299340</v>
      </c>
      <c r="J14" s="7">
        <v>590281</v>
      </c>
      <c r="K14" s="7">
        <v>261147</v>
      </c>
      <c r="L14" s="7">
        <v>5982</v>
      </c>
      <c r="M14" s="7">
        <v>267129</v>
      </c>
      <c r="N14" s="7">
        <v>38420</v>
      </c>
      <c r="O14" s="7">
        <v>20401</v>
      </c>
      <c r="P14" s="7">
        <v>58821</v>
      </c>
      <c r="Q14" s="7">
        <v>21858</v>
      </c>
      <c r="R14" s="7">
        <v>19977</v>
      </c>
      <c r="S14" s="7">
        <v>41835</v>
      </c>
      <c r="T14" s="7">
        <v>16561</v>
      </c>
      <c r="U14" s="7">
        <v>425</v>
      </c>
      <c r="V14" s="7">
        <v>16986</v>
      </c>
    </row>
    <row r="15" spans="1:22" x14ac:dyDescent="0.25">
      <c r="A15" s="6">
        <v>134</v>
      </c>
      <c r="B15" s="6" t="s">
        <v>19</v>
      </c>
      <c r="C15" s="8">
        <v>41306</v>
      </c>
      <c r="D15" s="6">
        <v>2013</v>
      </c>
      <c r="E15" s="7">
        <v>560501</v>
      </c>
      <c r="F15" s="7">
        <v>311073</v>
      </c>
      <c r="G15" s="7">
        <v>871574</v>
      </c>
      <c r="H15" s="7">
        <v>291925</v>
      </c>
      <c r="I15" s="7">
        <v>305399</v>
      </c>
      <c r="J15" s="7">
        <v>597324</v>
      </c>
      <c r="K15" s="7">
        <v>268576</v>
      </c>
      <c r="L15" s="7">
        <v>5674</v>
      </c>
      <c r="M15" s="7">
        <v>274250</v>
      </c>
      <c r="N15" s="7">
        <v>38619</v>
      </c>
      <c r="O15" s="7">
        <v>20279</v>
      </c>
      <c r="P15" s="7">
        <v>58898</v>
      </c>
      <c r="Q15" s="7">
        <v>21728</v>
      </c>
      <c r="R15" s="7">
        <v>19884</v>
      </c>
      <c r="S15" s="7">
        <v>41612</v>
      </c>
      <c r="T15" s="7">
        <v>16891</v>
      </c>
      <c r="U15" s="7">
        <v>395</v>
      </c>
      <c r="V15" s="7">
        <v>17286</v>
      </c>
    </row>
    <row r="16" spans="1:22" x14ac:dyDescent="0.25">
      <c r="A16" s="6">
        <v>135</v>
      </c>
      <c r="B16" s="6" t="s">
        <v>20</v>
      </c>
      <c r="C16" s="8">
        <v>41334</v>
      </c>
      <c r="D16" s="6">
        <v>2013</v>
      </c>
      <c r="E16" s="7">
        <v>550261</v>
      </c>
      <c r="F16" s="7">
        <v>315582</v>
      </c>
      <c r="G16" s="7">
        <v>865844</v>
      </c>
      <c r="H16" s="7">
        <v>292298</v>
      </c>
      <c r="I16" s="7">
        <v>308952</v>
      </c>
      <c r="J16" s="7">
        <v>601250</v>
      </c>
      <c r="K16" s="7">
        <v>257963</v>
      </c>
      <c r="L16" s="7">
        <v>6631</v>
      </c>
      <c r="M16" s="7">
        <v>264594</v>
      </c>
      <c r="N16" s="7">
        <v>40307</v>
      </c>
      <c r="O16" s="7">
        <v>23883</v>
      </c>
      <c r="P16" s="7">
        <v>64190</v>
      </c>
      <c r="Q16" s="7">
        <v>22806</v>
      </c>
      <c r="R16" s="7">
        <v>23399</v>
      </c>
      <c r="S16" s="7">
        <v>46205</v>
      </c>
      <c r="T16" s="7">
        <v>17501</v>
      </c>
      <c r="U16" s="7">
        <v>484</v>
      </c>
      <c r="V16" s="7">
        <v>17985</v>
      </c>
    </row>
    <row r="17" spans="1:22" x14ac:dyDescent="0.25">
      <c r="A17" s="6">
        <v>136</v>
      </c>
      <c r="B17" s="6" t="s">
        <v>21</v>
      </c>
      <c r="C17" s="8">
        <v>41365</v>
      </c>
      <c r="D17" s="6">
        <v>2013</v>
      </c>
      <c r="E17" s="7">
        <v>559573</v>
      </c>
      <c r="F17" s="7">
        <v>318225</v>
      </c>
      <c r="G17" s="7">
        <v>877799</v>
      </c>
      <c r="H17" s="7">
        <v>294483</v>
      </c>
      <c r="I17" s="7">
        <v>311918</v>
      </c>
      <c r="J17" s="7">
        <v>606401</v>
      </c>
      <c r="K17" s="7">
        <v>265091</v>
      </c>
      <c r="L17" s="7">
        <v>6307</v>
      </c>
      <c r="M17" s="7">
        <v>271398</v>
      </c>
      <c r="N17" s="7">
        <v>44268</v>
      </c>
      <c r="O17" s="7">
        <v>26333</v>
      </c>
      <c r="P17" s="7">
        <v>70601</v>
      </c>
      <c r="Q17" s="7">
        <v>23930</v>
      </c>
      <c r="R17" s="7">
        <v>25816</v>
      </c>
      <c r="S17" s="7">
        <v>49746</v>
      </c>
      <c r="T17" s="7">
        <v>20338</v>
      </c>
      <c r="U17" s="7">
        <v>517</v>
      </c>
      <c r="V17" s="7">
        <v>20855</v>
      </c>
    </row>
    <row r="18" spans="1:22" x14ac:dyDescent="0.25">
      <c r="A18" s="6">
        <v>137</v>
      </c>
      <c r="B18" s="6" t="s">
        <v>22</v>
      </c>
      <c r="C18" s="8">
        <v>41395</v>
      </c>
      <c r="D18" s="6">
        <v>2013</v>
      </c>
      <c r="E18" s="7">
        <v>562308</v>
      </c>
      <c r="F18" s="7">
        <v>320386</v>
      </c>
      <c r="G18" s="7">
        <v>882693</v>
      </c>
      <c r="H18" s="7">
        <v>298907</v>
      </c>
      <c r="I18" s="7">
        <v>314234</v>
      </c>
      <c r="J18" s="7">
        <v>613141</v>
      </c>
      <c r="K18" s="7">
        <v>263400</v>
      </c>
      <c r="L18" s="7">
        <v>6152</v>
      </c>
      <c r="M18" s="7">
        <v>269552</v>
      </c>
      <c r="N18" s="7">
        <v>47799</v>
      </c>
      <c r="O18" s="7">
        <v>27976</v>
      </c>
      <c r="P18" s="7">
        <v>75775</v>
      </c>
      <c r="Q18" s="7">
        <v>25263</v>
      </c>
      <c r="R18" s="7">
        <v>27441</v>
      </c>
      <c r="S18" s="7">
        <v>52704</v>
      </c>
      <c r="T18" s="7">
        <v>22536</v>
      </c>
      <c r="U18" s="7">
        <v>535</v>
      </c>
      <c r="V18" s="7">
        <v>23071</v>
      </c>
    </row>
    <row r="19" spans="1:22" x14ac:dyDescent="0.25">
      <c r="A19" s="6">
        <v>138</v>
      </c>
      <c r="B19" s="6" t="s">
        <v>23</v>
      </c>
      <c r="C19" s="8">
        <v>41426</v>
      </c>
      <c r="D19" s="6">
        <v>2013</v>
      </c>
      <c r="E19" s="7">
        <v>570310</v>
      </c>
      <c r="F19" s="7">
        <v>322938</v>
      </c>
      <c r="G19" s="7">
        <v>893248</v>
      </c>
      <c r="H19" s="7">
        <v>302108</v>
      </c>
      <c r="I19" s="7">
        <v>317073</v>
      </c>
      <c r="J19" s="7">
        <v>619181</v>
      </c>
      <c r="K19" s="7">
        <v>268202</v>
      </c>
      <c r="L19" s="7">
        <v>5865</v>
      </c>
      <c r="M19" s="7">
        <v>274067</v>
      </c>
      <c r="N19" s="7">
        <v>51202</v>
      </c>
      <c r="O19" s="7">
        <v>29795</v>
      </c>
      <c r="P19" s="7">
        <v>80997</v>
      </c>
      <c r="Q19" s="7">
        <v>26028</v>
      </c>
      <c r="R19" s="7">
        <v>29256</v>
      </c>
      <c r="S19" s="7">
        <v>55284</v>
      </c>
      <c r="T19" s="7">
        <v>25175</v>
      </c>
      <c r="U19" s="7">
        <v>539</v>
      </c>
      <c r="V19" s="7">
        <v>25713</v>
      </c>
    </row>
    <row r="20" spans="1:22" x14ac:dyDescent="0.25">
      <c r="A20" s="6">
        <v>139</v>
      </c>
      <c r="B20" s="6" t="s">
        <v>24</v>
      </c>
      <c r="C20" s="8">
        <v>41456</v>
      </c>
      <c r="D20" s="6">
        <v>2013</v>
      </c>
      <c r="E20" s="7">
        <v>582742</v>
      </c>
      <c r="F20" s="7">
        <v>326770</v>
      </c>
      <c r="G20" s="7">
        <v>909513</v>
      </c>
      <c r="H20" s="7">
        <v>315199</v>
      </c>
      <c r="I20" s="7">
        <v>320879</v>
      </c>
      <c r="J20" s="7">
        <v>636078</v>
      </c>
      <c r="K20" s="7">
        <v>267543</v>
      </c>
      <c r="L20" s="7">
        <v>5892</v>
      </c>
      <c r="M20" s="7">
        <v>273435</v>
      </c>
      <c r="N20" s="7">
        <v>53614</v>
      </c>
      <c r="O20" s="7">
        <v>30732</v>
      </c>
      <c r="P20" s="7">
        <v>84346</v>
      </c>
      <c r="Q20" s="7">
        <v>27246</v>
      </c>
      <c r="R20" s="7">
        <v>30205</v>
      </c>
      <c r="S20" s="7">
        <v>57451</v>
      </c>
      <c r="T20" s="7">
        <v>26368</v>
      </c>
      <c r="U20" s="7">
        <v>527</v>
      </c>
      <c r="V20" s="7">
        <v>26895</v>
      </c>
    </row>
    <row r="21" spans="1:22" x14ac:dyDescent="0.25">
      <c r="A21" s="6">
        <v>140</v>
      </c>
      <c r="B21" s="6" t="s">
        <v>25</v>
      </c>
      <c r="C21" s="8">
        <v>41487</v>
      </c>
      <c r="D21" s="6">
        <v>2013</v>
      </c>
      <c r="E21" s="7">
        <v>582014</v>
      </c>
      <c r="F21" s="7">
        <v>332595</v>
      </c>
      <c r="G21" s="7">
        <v>914609</v>
      </c>
      <c r="H21" s="7">
        <v>316706</v>
      </c>
      <c r="I21" s="7">
        <v>326788</v>
      </c>
      <c r="J21" s="7">
        <v>643494</v>
      </c>
      <c r="K21" s="7">
        <v>265308</v>
      </c>
      <c r="L21" s="7">
        <v>5807</v>
      </c>
      <c r="M21" s="7">
        <v>271115</v>
      </c>
      <c r="N21" s="7">
        <v>55212</v>
      </c>
      <c r="O21" s="7">
        <v>31565</v>
      </c>
      <c r="P21" s="7">
        <v>86776</v>
      </c>
      <c r="Q21" s="7">
        <v>27779</v>
      </c>
      <c r="R21" s="7">
        <v>31034</v>
      </c>
      <c r="S21" s="7">
        <v>58813</v>
      </c>
      <c r="T21" s="7">
        <v>27433</v>
      </c>
      <c r="U21" s="7">
        <v>530</v>
      </c>
      <c r="V21" s="7">
        <v>27963</v>
      </c>
    </row>
    <row r="22" spans="1:22" x14ac:dyDescent="0.25">
      <c r="A22" s="6">
        <v>141</v>
      </c>
      <c r="B22" s="6" t="s">
        <v>26</v>
      </c>
      <c r="C22" s="8">
        <v>41518</v>
      </c>
      <c r="D22" s="6">
        <v>2013</v>
      </c>
      <c r="E22" s="7">
        <v>586318</v>
      </c>
      <c r="F22" s="7">
        <v>338043</v>
      </c>
      <c r="G22" s="7">
        <v>924361</v>
      </c>
      <c r="H22" s="7">
        <v>320810</v>
      </c>
      <c r="I22" s="7">
        <v>332773</v>
      </c>
      <c r="J22" s="7">
        <v>653583</v>
      </c>
      <c r="K22" s="7">
        <v>265508</v>
      </c>
      <c r="L22" s="7">
        <v>5270</v>
      </c>
      <c r="M22" s="7">
        <v>270778</v>
      </c>
      <c r="N22" s="7">
        <v>54705</v>
      </c>
      <c r="O22" s="7">
        <v>31120</v>
      </c>
      <c r="P22" s="7">
        <v>85825</v>
      </c>
      <c r="Q22" s="7">
        <v>28282</v>
      </c>
      <c r="R22" s="7">
        <v>30614</v>
      </c>
      <c r="S22" s="7">
        <v>58896</v>
      </c>
      <c r="T22" s="7">
        <v>26423</v>
      </c>
      <c r="U22" s="7">
        <v>506</v>
      </c>
      <c r="V22" s="7">
        <v>26929</v>
      </c>
    </row>
    <row r="23" spans="1:22" x14ac:dyDescent="0.25">
      <c r="A23" s="6">
        <v>142</v>
      </c>
      <c r="B23" s="6" t="s">
        <v>27</v>
      </c>
      <c r="C23" s="8">
        <v>41548</v>
      </c>
      <c r="D23" s="6">
        <v>2013</v>
      </c>
      <c r="E23" s="7">
        <v>594053</v>
      </c>
      <c r="F23" s="7">
        <v>343929</v>
      </c>
      <c r="G23" s="7">
        <v>937982</v>
      </c>
      <c r="H23" s="7">
        <v>327293</v>
      </c>
      <c r="I23" s="7">
        <v>338378</v>
      </c>
      <c r="J23" s="7">
        <v>665670</v>
      </c>
      <c r="K23" s="7">
        <v>266760</v>
      </c>
      <c r="L23" s="7">
        <v>5552</v>
      </c>
      <c r="M23" s="7">
        <v>272312</v>
      </c>
      <c r="N23" s="7">
        <v>54448</v>
      </c>
      <c r="O23" s="7">
        <v>32103</v>
      </c>
      <c r="P23" s="7">
        <v>86551</v>
      </c>
      <c r="Q23" s="7">
        <v>29441</v>
      </c>
      <c r="R23" s="7">
        <v>31620</v>
      </c>
      <c r="S23" s="7">
        <v>61061</v>
      </c>
      <c r="T23" s="7">
        <v>25007</v>
      </c>
      <c r="U23" s="7">
        <v>483</v>
      </c>
      <c r="V23" s="7">
        <v>25490</v>
      </c>
    </row>
    <row r="24" spans="1:22" x14ac:dyDescent="0.25">
      <c r="A24" s="6">
        <v>143</v>
      </c>
      <c r="B24" s="6" t="s">
        <v>28</v>
      </c>
      <c r="C24" s="8">
        <v>41579</v>
      </c>
      <c r="D24" s="6">
        <v>2013</v>
      </c>
      <c r="E24" s="7">
        <v>595310</v>
      </c>
      <c r="F24" s="7">
        <v>353540</v>
      </c>
      <c r="G24" s="7">
        <v>948850</v>
      </c>
      <c r="H24" s="7">
        <v>333564</v>
      </c>
      <c r="I24" s="7">
        <v>347826</v>
      </c>
      <c r="J24" s="7">
        <v>681390</v>
      </c>
      <c r="K24" s="7">
        <v>261746</v>
      </c>
      <c r="L24" s="7">
        <v>5714</v>
      </c>
      <c r="M24" s="7">
        <v>267460</v>
      </c>
      <c r="N24" s="7">
        <v>50928</v>
      </c>
      <c r="O24" s="7">
        <v>28767</v>
      </c>
      <c r="P24" s="7">
        <v>79695</v>
      </c>
      <c r="Q24" s="7">
        <v>29033</v>
      </c>
      <c r="R24" s="7">
        <v>28295</v>
      </c>
      <c r="S24" s="7">
        <v>57328</v>
      </c>
      <c r="T24" s="7">
        <v>21895</v>
      </c>
      <c r="U24" s="7">
        <v>473</v>
      </c>
      <c r="V24" s="7">
        <v>22367</v>
      </c>
    </row>
    <row r="25" spans="1:22" x14ac:dyDescent="0.25">
      <c r="A25" s="6">
        <v>144</v>
      </c>
      <c r="B25" s="6" t="s">
        <v>29</v>
      </c>
      <c r="C25" s="8">
        <v>41609</v>
      </c>
      <c r="D25" s="6">
        <v>2013</v>
      </c>
      <c r="E25" s="7">
        <v>601388</v>
      </c>
      <c r="F25" s="7">
        <v>360608</v>
      </c>
      <c r="G25" s="7">
        <v>961996</v>
      </c>
      <c r="H25" s="7">
        <v>339647</v>
      </c>
      <c r="I25" s="7">
        <v>355228</v>
      </c>
      <c r="J25" s="7">
        <v>694875</v>
      </c>
      <c r="K25" s="7">
        <v>261740</v>
      </c>
      <c r="L25" s="7">
        <v>5380</v>
      </c>
      <c r="M25" s="7">
        <v>267120</v>
      </c>
      <c r="N25" s="7">
        <v>47613</v>
      </c>
      <c r="O25" s="7">
        <v>26264</v>
      </c>
      <c r="P25" s="7">
        <v>73876</v>
      </c>
      <c r="Q25" s="7">
        <v>28894</v>
      </c>
      <c r="R25" s="7">
        <v>25840</v>
      </c>
      <c r="S25" s="7">
        <v>54734</v>
      </c>
      <c r="T25" s="7">
        <v>18719</v>
      </c>
      <c r="U25" s="7">
        <v>424</v>
      </c>
      <c r="V25" s="7">
        <v>19143</v>
      </c>
    </row>
    <row r="26" spans="1:22" x14ac:dyDescent="0.25">
      <c r="A26" s="6">
        <v>145</v>
      </c>
      <c r="B26" s="6" t="s">
        <v>18</v>
      </c>
      <c r="C26" s="8">
        <v>41640</v>
      </c>
      <c r="D26" s="6">
        <v>2014</v>
      </c>
      <c r="E26" s="7">
        <v>606955</v>
      </c>
      <c r="F26" s="7">
        <v>366700</v>
      </c>
      <c r="G26" s="7">
        <v>973655</v>
      </c>
      <c r="H26" s="7">
        <v>347575</v>
      </c>
      <c r="I26" s="7">
        <v>361795</v>
      </c>
      <c r="J26" s="7">
        <v>709370</v>
      </c>
      <c r="K26" s="7">
        <v>259380</v>
      </c>
      <c r="L26" s="7">
        <v>4905</v>
      </c>
      <c r="M26" s="7">
        <v>264284</v>
      </c>
      <c r="N26" s="7">
        <v>42480</v>
      </c>
      <c r="O26" s="7">
        <v>24484</v>
      </c>
      <c r="P26" s="7">
        <v>66964</v>
      </c>
      <c r="Q26" s="7">
        <v>26166</v>
      </c>
      <c r="R26" s="7">
        <v>24130</v>
      </c>
      <c r="S26" s="7">
        <v>50296</v>
      </c>
      <c r="T26" s="7">
        <v>16314</v>
      </c>
      <c r="U26" s="7">
        <v>354</v>
      </c>
      <c r="V26" s="7">
        <v>16668</v>
      </c>
    </row>
    <row r="27" spans="1:22" x14ac:dyDescent="0.25">
      <c r="A27" s="6">
        <v>146</v>
      </c>
      <c r="B27" s="6" t="s">
        <v>19</v>
      </c>
      <c r="C27" s="8">
        <v>41671</v>
      </c>
      <c r="D27" s="6">
        <v>2014</v>
      </c>
      <c r="E27" s="7">
        <v>616937</v>
      </c>
      <c r="F27" s="7">
        <v>368343</v>
      </c>
      <c r="G27" s="7">
        <v>985280</v>
      </c>
      <c r="H27" s="7">
        <v>357783</v>
      </c>
      <c r="I27" s="7">
        <v>363413</v>
      </c>
      <c r="J27" s="7">
        <v>721196</v>
      </c>
      <c r="K27" s="7">
        <v>259154</v>
      </c>
      <c r="L27" s="7">
        <v>4930</v>
      </c>
      <c r="M27" s="7">
        <v>264084</v>
      </c>
      <c r="N27" s="7">
        <v>42349</v>
      </c>
      <c r="O27" s="7">
        <v>24044</v>
      </c>
      <c r="P27" s="7">
        <v>66393</v>
      </c>
      <c r="Q27" s="7">
        <v>26168</v>
      </c>
      <c r="R27" s="7">
        <v>23701</v>
      </c>
      <c r="S27" s="7">
        <v>49868</v>
      </c>
      <c r="T27" s="7">
        <v>16181</v>
      </c>
      <c r="U27" s="7">
        <v>344</v>
      </c>
      <c r="V27" s="7">
        <v>16524</v>
      </c>
    </row>
    <row r="28" spans="1:22" x14ac:dyDescent="0.25">
      <c r="A28" s="6">
        <v>147</v>
      </c>
      <c r="B28" s="6" t="s">
        <v>20</v>
      </c>
      <c r="C28" s="8">
        <v>41699</v>
      </c>
      <c r="D28" s="6">
        <v>2014</v>
      </c>
      <c r="E28" s="7">
        <v>617525</v>
      </c>
      <c r="F28" s="7">
        <v>371970</v>
      </c>
      <c r="G28" s="7">
        <v>989496</v>
      </c>
      <c r="H28" s="7">
        <v>353443</v>
      </c>
      <c r="I28" s="7">
        <v>367107</v>
      </c>
      <c r="J28" s="7">
        <v>720551</v>
      </c>
      <c r="K28" s="7">
        <v>264082</v>
      </c>
      <c r="L28" s="7">
        <v>4863</v>
      </c>
      <c r="M28" s="7">
        <v>268945</v>
      </c>
      <c r="N28" s="7">
        <v>44647</v>
      </c>
      <c r="O28" s="7">
        <v>28345</v>
      </c>
      <c r="P28" s="7">
        <v>72992</v>
      </c>
      <c r="Q28" s="7">
        <v>26867</v>
      </c>
      <c r="R28" s="7">
        <v>27987</v>
      </c>
      <c r="S28" s="7">
        <v>54854</v>
      </c>
      <c r="T28" s="7">
        <v>17780</v>
      </c>
      <c r="U28" s="7">
        <v>358</v>
      </c>
      <c r="V28" s="7">
        <v>18139</v>
      </c>
    </row>
    <row r="29" spans="1:22" x14ac:dyDescent="0.25">
      <c r="A29" s="6">
        <v>148</v>
      </c>
      <c r="B29" s="6" t="s">
        <v>21</v>
      </c>
      <c r="C29" s="8">
        <v>41730</v>
      </c>
      <c r="D29" s="6">
        <v>2014</v>
      </c>
      <c r="E29" s="7">
        <v>618860</v>
      </c>
      <c r="F29" s="7">
        <v>374054</v>
      </c>
      <c r="G29" s="7">
        <v>992914</v>
      </c>
      <c r="H29" s="7">
        <v>350256</v>
      </c>
      <c r="I29" s="7">
        <v>369284</v>
      </c>
      <c r="J29" s="7">
        <v>719540</v>
      </c>
      <c r="K29" s="7">
        <v>268603</v>
      </c>
      <c r="L29" s="7">
        <v>4770</v>
      </c>
      <c r="M29" s="7">
        <v>273374</v>
      </c>
      <c r="N29" s="7">
        <v>48564</v>
      </c>
      <c r="O29" s="7">
        <v>31009</v>
      </c>
      <c r="P29" s="7">
        <v>79572</v>
      </c>
      <c r="Q29" s="7">
        <v>27969</v>
      </c>
      <c r="R29" s="7">
        <v>30618</v>
      </c>
      <c r="S29" s="7">
        <v>58587</v>
      </c>
      <c r="T29" s="7">
        <v>20595</v>
      </c>
      <c r="U29" s="7">
        <v>391</v>
      </c>
      <c r="V29" s="7">
        <v>20985</v>
      </c>
    </row>
    <row r="30" spans="1:22" x14ac:dyDescent="0.25">
      <c r="A30" s="6">
        <v>149</v>
      </c>
      <c r="B30" s="6" t="s">
        <v>22</v>
      </c>
      <c r="C30" s="8">
        <v>41760</v>
      </c>
      <c r="D30" s="6">
        <v>2014</v>
      </c>
      <c r="E30" s="7">
        <v>619373</v>
      </c>
      <c r="F30" s="7">
        <v>371364</v>
      </c>
      <c r="G30" s="7">
        <v>990737</v>
      </c>
      <c r="H30" s="7">
        <v>348464</v>
      </c>
      <c r="I30" s="7">
        <v>366618</v>
      </c>
      <c r="J30" s="7">
        <v>715082</v>
      </c>
      <c r="K30" s="7">
        <v>270909</v>
      </c>
      <c r="L30" s="7">
        <v>4746</v>
      </c>
      <c r="M30" s="7">
        <v>275655</v>
      </c>
      <c r="N30" s="7">
        <v>51870</v>
      </c>
      <c r="O30" s="7">
        <v>32670</v>
      </c>
      <c r="P30" s="7">
        <v>84540</v>
      </c>
      <c r="Q30" s="7">
        <v>28868</v>
      </c>
      <c r="R30" s="7">
        <v>32262</v>
      </c>
      <c r="S30" s="7">
        <v>61131</v>
      </c>
      <c r="T30" s="7">
        <v>23002</v>
      </c>
      <c r="U30" s="7">
        <v>408</v>
      </c>
      <c r="V30" s="7">
        <v>23409</v>
      </c>
    </row>
    <row r="31" spans="1:22" x14ac:dyDescent="0.25">
      <c r="A31" s="6">
        <v>150</v>
      </c>
      <c r="B31" s="6" t="s">
        <v>23</v>
      </c>
      <c r="C31" s="8">
        <v>41791</v>
      </c>
      <c r="D31" s="6">
        <v>2014</v>
      </c>
      <c r="E31" s="7">
        <v>615823</v>
      </c>
      <c r="F31" s="7">
        <v>368083</v>
      </c>
      <c r="G31" s="7">
        <v>983906</v>
      </c>
      <c r="H31" s="7">
        <v>344538</v>
      </c>
      <c r="I31" s="7">
        <v>363134</v>
      </c>
      <c r="J31" s="7">
        <v>707673</v>
      </c>
      <c r="K31" s="7">
        <v>271285</v>
      </c>
      <c r="L31" s="7">
        <v>4949</v>
      </c>
      <c r="M31" s="7">
        <v>276233</v>
      </c>
      <c r="N31" s="7">
        <v>55014</v>
      </c>
      <c r="O31" s="7">
        <v>34187</v>
      </c>
      <c r="P31" s="7">
        <v>89201</v>
      </c>
      <c r="Q31" s="7">
        <v>29385</v>
      </c>
      <c r="R31" s="7">
        <v>33726</v>
      </c>
      <c r="S31" s="7">
        <v>63111</v>
      </c>
      <c r="T31" s="7">
        <v>25630</v>
      </c>
      <c r="U31" s="7">
        <v>461</v>
      </c>
      <c r="V31" s="7">
        <v>26091</v>
      </c>
    </row>
    <row r="32" spans="1:22" x14ac:dyDescent="0.25">
      <c r="A32" s="6">
        <v>151</v>
      </c>
      <c r="B32" s="6" t="s">
        <v>24</v>
      </c>
      <c r="C32" s="8">
        <v>41821</v>
      </c>
      <c r="D32" s="6">
        <v>2014</v>
      </c>
      <c r="E32" s="7">
        <v>617925</v>
      </c>
      <c r="F32" s="7">
        <v>367065</v>
      </c>
      <c r="G32" s="7">
        <v>984990</v>
      </c>
      <c r="H32" s="7">
        <v>344256</v>
      </c>
      <c r="I32" s="7">
        <v>362054</v>
      </c>
      <c r="J32" s="7">
        <v>706309</v>
      </c>
      <c r="K32" s="7">
        <v>273669</v>
      </c>
      <c r="L32" s="7">
        <v>5012</v>
      </c>
      <c r="M32" s="7">
        <v>278681</v>
      </c>
      <c r="N32" s="7">
        <v>56133</v>
      </c>
      <c r="O32" s="7">
        <v>34594</v>
      </c>
      <c r="P32" s="7">
        <v>90727</v>
      </c>
      <c r="Q32" s="7">
        <v>29132</v>
      </c>
      <c r="R32" s="7">
        <v>34149</v>
      </c>
      <c r="S32" s="7">
        <v>63280</v>
      </c>
      <c r="T32" s="7">
        <v>27002</v>
      </c>
      <c r="U32" s="7">
        <v>445</v>
      </c>
      <c r="V32" s="7">
        <v>27447</v>
      </c>
    </row>
    <row r="33" spans="1:22" x14ac:dyDescent="0.25">
      <c r="A33" s="6">
        <v>152</v>
      </c>
      <c r="B33" s="6" t="s">
        <v>25</v>
      </c>
      <c r="C33" s="8">
        <v>41852</v>
      </c>
      <c r="D33" s="6">
        <v>2014</v>
      </c>
      <c r="E33" s="7">
        <v>619983</v>
      </c>
      <c r="F33" s="7">
        <v>366894</v>
      </c>
      <c r="G33" s="7">
        <v>986876</v>
      </c>
      <c r="H33" s="7">
        <v>346324</v>
      </c>
      <c r="I33" s="7">
        <v>361860</v>
      </c>
      <c r="J33" s="7">
        <v>708184</v>
      </c>
      <c r="K33" s="7">
        <v>273659</v>
      </c>
      <c r="L33" s="7">
        <v>5034</v>
      </c>
      <c r="M33" s="7">
        <v>278693</v>
      </c>
      <c r="N33" s="7">
        <v>57499</v>
      </c>
      <c r="O33" s="7">
        <v>34565</v>
      </c>
      <c r="P33" s="7">
        <v>92064</v>
      </c>
      <c r="Q33" s="7">
        <v>29568</v>
      </c>
      <c r="R33" s="7">
        <v>34118</v>
      </c>
      <c r="S33" s="7">
        <v>63686</v>
      </c>
      <c r="T33" s="7">
        <v>27931</v>
      </c>
      <c r="U33" s="7">
        <v>447</v>
      </c>
      <c r="V33" s="7">
        <v>28378</v>
      </c>
    </row>
    <row r="34" spans="1:22" x14ac:dyDescent="0.25">
      <c r="A34" s="6">
        <v>153</v>
      </c>
      <c r="B34" s="6" t="s">
        <v>26</v>
      </c>
      <c r="C34" s="8">
        <v>41883</v>
      </c>
      <c r="D34" s="6">
        <v>2014</v>
      </c>
      <c r="E34" s="7">
        <v>616654</v>
      </c>
      <c r="F34" s="7">
        <v>375695</v>
      </c>
      <c r="G34" s="7">
        <v>992349</v>
      </c>
      <c r="H34" s="7">
        <v>347753</v>
      </c>
      <c r="I34" s="7">
        <v>370275</v>
      </c>
      <c r="J34" s="7">
        <v>718028</v>
      </c>
      <c r="K34" s="7">
        <v>268901</v>
      </c>
      <c r="L34" s="7">
        <v>5420</v>
      </c>
      <c r="M34" s="7">
        <v>274321</v>
      </c>
      <c r="N34" s="7">
        <v>57733</v>
      </c>
      <c r="O34" s="7">
        <v>34474</v>
      </c>
      <c r="P34" s="7">
        <v>92206</v>
      </c>
      <c r="Q34" s="7">
        <v>30735</v>
      </c>
      <c r="R34" s="7">
        <v>33964</v>
      </c>
      <c r="S34" s="7">
        <v>64700</v>
      </c>
      <c r="T34" s="7">
        <v>26997</v>
      </c>
      <c r="U34" s="7">
        <v>510</v>
      </c>
      <c r="V34" s="7">
        <v>27507</v>
      </c>
    </row>
    <row r="35" spans="1:22" x14ac:dyDescent="0.25">
      <c r="A35" s="6">
        <v>154</v>
      </c>
      <c r="B35" s="6" t="s">
        <v>27</v>
      </c>
      <c r="C35" s="8">
        <v>41913</v>
      </c>
      <c r="D35" s="6">
        <v>2014</v>
      </c>
      <c r="E35" s="7">
        <v>632332</v>
      </c>
      <c r="F35" s="7">
        <v>383645</v>
      </c>
      <c r="G35" s="7">
        <v>1015977</v>
      </c>
      <c r="H35" s="7">
        <v>350013</v>
      </c>
      <c r="I35" s="7">
        <v>378517</v>
      </c>
      <c r="J35" s="7">
        <v>728530</v>
      </c>
      <c r="K35" s="7">
        <v>282319</v>
      </c>
      <c r="L35" s="7">
        <v>5128</v>
      </c>
      <c r="M35" s="7">
        <v>287446</v>
      </c>
      <c r="N35" s="7">
        <v>58451</v>
      </c>
      <c r="O35" s="7">
        <v>35401</v>
      </c>
      <c r="P35" s="7">
        <v>93852</v>
      </c>
      <c r="Q35" s="7">
        <v>31782</v>
      </c>
      <c r="R35" s="7">
        <v>34942</v>
      </c>
      <c r="S35" s="7">
        <v>66724</v>
      </c>
      <c r="T35" s="7">
        <v>26669</v>
      </c>
      <c r="U35" s="7">
        <v>458</v>
      </c>
      <c r="V35" s="7">
        <v>27127</v>
      </c>
    </row>
    <row r="36" spans="1:22" x14ac:dyDescent="0.25">
      <c r="A36" s="6">
        <v>155</v>
      </c>
      <c r="B36" s="6" t="s">
        <v>28</v>
      </c>
      <c r="C36" s="8">
        <v>41944</v>
      </c>
      <c r="D36" s="6">
        <v>2014</v>
      </c>
      <c r="E36" s="7">
        <v>624379</v>
      </c>
      <c r="F36" s="7">
        <v>391674</v>
      </c>
      <c r="G36" s="7">
        <v>1016054</v>
      </c>
      <c r="H36" s="7">
        <v>352185</v>
      </c>
      <c r="I36" s="7">
        <v>386325</v>
      </c>
      <c r="J36" s="7">
        <v>738510</v>
      </c>
      <c r="K36" s="7">
        <v>272194</v>
      </c>
      <c r="L36" s="7">
        <v>5350</v>
      </c>
      <c r="M36" s="7">
        <v>277544</v>
      </c>
      <c r="N36" s="7">
        <v>53460</v>
      </c>
      <c r="O36" s="7">
        <v>31903</v>
      </c>
      <c r="P36" s="7">
        <v>85362</v>
      </c>
      <c r="Q36" s="7">
        <v>30846</v>
      </c>
      <c r="R36" s="7">
        <v>31463</v>
      </c>
      <c r="S36" s="7">
        <v>62310</v>
      </c>
      <c r="T36" s="7">
        <v>22613</v>
      </c>
      <c r="U36" s="7">
        <v>440</v>
      </c>
      <c r="V36" s="7">
        <v>23053</v>
      </c>
    </row>
    <row r="37" spans="1:22" x14ac:dyDescent="0.25">
      <c r="A37" s="6">
        <v>156</v>
      </c>
      <c r="B37" s="6" t="s">
        <v>29</v>
      </c>
      <c r="C37" s="8">
        <v>41974</v>
      </c>
      <c r="D37" s="6">
        <v>2014</v>
      </c>
      <c r="E37" s="7">
        <v>628795</v>
      </c>
      <c r="F37" s="7">
        <v>402840</v>
      </c>
      <c r="G37" s="7">
        <v>1031635</v>
      </c>
      <c r="H37" s="7">
        <v>352717</v>
      </c>
      <c r="I37" s="7">
        <v>397351</v>
      </c>
      <c r="J37" s="7">
        <v>750069</v>
      </c>
      <c r="K37" s="7">
        <v>276078</v>
      </c>
      <c r="L37" s="7">
        <v>5489</v>
      </c>
      <c r="M37" s="7">
        <v>281566</v>
      </c>
      <c r="N37" s="7">
        <v>50110</v>
      </c>
      <c r="O37" s="7">
        <v>29425</v>
      </c>
      <c r="P37" s="7">
        <v>79535</v>
      </c>
      <c r="Q37" s="7">
        <v>30180</v>
      </c>
      <c r="R37" s="7">
        <v>28986</v>
      </c>
      <c r="S37" s="7">
        <v>59166</v>
      </c>
      <c r="T37" s="7">
        <v>19930</v>
      </c>
      <c r="U37" s="7">
        <v>440</v>
      </c>
      <c r="V37" s="7">
        <v>20369</v>
      </c>
    </row>
    <row r="38" spans="1:22" x14ac:dyDescent="0.25">
      <c r="A38" s="6">
        <v>157</v>
      </c>
      <c r="B38" s="6" t="s">
        <v>18</v>
      </c>
      <c r="C38" s="8">
        <v>42005</v>
      </c>
      <c r="D38" s="6">
        <v>2015</v>
      </c>
      <c r="E38" s="7">
        <v>625218</v>
      </c>
      <c r="F38" s="7">
        <v>408043</v>
      </c>
      <c r="G38" s="7">
        <v>1033261</v>
      </c>
      <c r="H38" s="7">
        <v>357245</v>
      </c>
      <c r="I38" s="7">
        <v>402151</v>
      </c>
      <c r="J38" s="7">
        <v>759396</v>
      </c>
      <c r="K38" s="7">
        <v>267973</v>
      </c>
      <c r="L38" s="7">
        <v>5893</v>
      </c>
      <c r="M38" s="7">
        <v>273865</v>
      </c>
      <c r="N38" s="7">
        <v>43474</v>
      </c>
      <c r="O38" s="7">
        <v>27379</v>
      </c>
      <c r="P38" s="7">
        <v>70853</v>
      </c>
      <c r="Q38" s="7">
        <v>26769</v>
      </c>
      <c r="R38" s="7">
        <v>26959</v>
      </c>
      <c r="S38" s="7">
        <v>53727</v>
      </c>
      <c r="T38" s="7">
        <v>16705</v>
      </c>
      <c r="U38" s="7">
        <v>421</v>
      </c>
      <c r="V38" s="7">
        <v>17126</v>
      </c>
    </row>
    <row r="39" spans="1:22" x14ac:dyDescent="0.25">
      <c r="A39" s="6">
        <v>158</v>
      </c>
      <c r="B39" s="6" t="s">
        <v>19</v>
      </c>
      <c r="C39" s="8">
        <v>42036</v>
      </c>
      <c r="D39" s="6">
        <v>2015</v>
      </c>
      <c r="E39" s="7">
        <v>626814</v>
      </c>
      <c r="F39" s="7">
        <v>410713</v>
      </c>
      <c r="G39" s="7">
        <v>1037527</v>
      </c>
      <c r="H39" s="7">
        <v>360244</v>
      </c>
      <c r="I39" s="7">
        <v>404636</v>
      </c>
      <c r="J39" s="7">
        <v>764880</v>
      </c>
      <c r="K39" s="7">
        <v>266570</v>
      </c>
      <c r="L39" s="7">
        <v>6076</v>
      </c>
      <c r="M39" s="7">
        <v>272646</v>
      </c>
      <c r="N39" s="7">
        <v>43419</v>
      </c>
      <c r="O39" s="7">
        <v>27030</v>
      </c>
      <c r="P39" s="7">
        <v>70449</v>
      </c>
      <c r="Q39" s="7">
        <v>26773</v>
      </c>
      <c r="R39" s="7">
        <v>26608</v>
      </c>
      <c r="S39" s="7">
        <v>53381</v>
      </c>
      <c r="T39" s="7">
        <v>16647</v>
      </c>
      <c r="U39" s="7">
        <v>422</v>
      </c>
      <c r="V39" s="7">
        <v>17068</v>
      </c>
    </row>
    <row r="40" spans="1:22" x14ac:dyDescent="0.25">
      <c r="A40" s="6">
        <v>159</v>
      </c>
      <c r="B40" s="6" t="s">
        <v>20</v>
      </c>
      <c r="C40" s="8">
        <v>42064</v>
      </c>
      <c r="D40" s="6">
        <v>2015</v>
      </c>
      <c r="E40" s="7">
        <v>642472</v>
      </c>
      <c r="F40" s="7">
        <v>410428</v>
      </c>
      <c r="G40" s="7">
        <v>1052899</v>
      </c>
      <c r="H40" s="7">
        <v>372201</v>
      </c>
      <c r="I40" s="7">
        <v>404061</v>
      </c>
      <c r="J40" s="7">
        <v>776261</v>
      </c>
      <c r="K40" s="7">
        <v>270271</v>
      </c>
      <c r="L40" s="7">
        <v>6367</v>
      </c>
      <c r="M40" s="7">
        <v>276638</v>
      </c>
      <c r="N40" s="7">
        <v>47355</v>
      </c>
      <c r="O40" s="7">
        <v>31608</v>
      </c>
      <c r="P40" s="7">
        <v>78963</v>
      </c>
      <c r="Q40" s="7">
        <v>28971</v>
      </c>
      <c r="R40" s="7">
        <v>31145</v>
      </c>
      <c r="S40" s="7">
        <v>60115</v>
      </c>
      <c r="T40" s="7">
        <v>18384</v>
      </c>
      <c r="U40" s="7">
        <v>463</v>
      </c>
      <c r="V40" s="7">
        <v>18848</v>
      </c>
    </row>
    <row r="41" spans="1:22" x14ac:dyDescent="0.25">
      <c r="A41" s="6">
        <v>160</v>
      </c>
      <c r="B41" s="6" t="s">
        <v>21</v>
      </c>
      <c r="C41" s="8">
        <v>42095</v>
      </c>
      <c r="D41" s="6">
        <v>2015</v>
      </c>
      <c r="E41" s="7">
        <v>671296</v>
      </c>
      <c r="F41" s="7">
        <v>413666</v>
      </c>
      <c r="G41" s="7">
        <v>1084961</v>
      </c>
      <c r="H41" s="7">
        <v>390372</v>
      </c>
      <c r="I41" s="7">
        <v>407157</v>
      </c>
      <c r="J41" s="7">
        <v>797529</v>
      </c>
      <c r="K41" s="7">
        <v>280923</v>
      </c>
      <c r="L41" s="7">
        <v>6509</v>
      </c>
      <c r="M41" s="7">
        <v>287432</v>
      </c>
      <c r="N41" s="7">
        <v>53293</v>
      </c>
      <c r="O41" s="7">
        <v>34366</v>
      </c>
      <c r="P41" s="7">
        <v>87659</v>
      </c>
      <c r="Q41" s="7">
        <v>31675</v>
      </c>
      <c r="R41" s="7">
        <v>33808</v>
      </c>
      <c r="S41" s="7">
        <v>65483</v>
      </c>
      <c r="T41" s="7">
        <v>21619</v>
      </c>
      <c r="U41" s="7">
        <v>558</v>
      </c>
      <c r="V41" s="7">
        <v>22176</v>
      </c>
    </row>
    <row r="42" spans="1:22" x14ac:dyDescent="0.25">
      <c r="A42" s="6">
        <v>161</v>
      </c>
      <c r="B42" s="6" t="s">
        <v>22</v>
      </c>
      <c r="C42" s="8">
        <v>42125</v>
      </c>
      <c r="D42" s="6">
        <v>2015</v>
      </c>
      <c r="E42" s="7">
        <v>688688</v>
      </c>
      <c r="F42" s="7">
        <v>418881</v>
      </c>
      <c r="G42" s="7">
        <v>1107569</v>
      </c>
      <c r="H42" s="7">
        <v>403390</v>
      </c>
      <c r="I42" s="7">
        <v>412208</v>
      </c>
      <c r="J42" s="7">
        <v>815598</v>
      </c>
      <c r="K42" s="7">
        <v>285299</v>
      </c>
      <c r="L42" s="7">
        <v>6673</v>
      </c>
      <c r="M42" s="7">
        <v>291971</v>
      </c>
      <c r="N42" s="7">
        <v>57578</v>
      </c>
      <c r="O42" s="7">
        <v>36904</v>
      </c>
      <c r="P42" s="7">
        <v>94482</v>
      </c>
      <c r="Q42" s="7">
        <v>33609</v>
      </c>
      <c r="R42" s="7">
        <v>36339</v>
      </c>
      <c r="S42" s="7">
        <v>69949</v>
      </c>
      <c r="T42" s="7">
        <v>23968</v>
      </c>
      <c r="U42" s="7">
        <v>565</v>
      </c>
      <c r="V42" s="7">
        <v>24533</v>
      </c>
    </row>
    <row r="43" spans="1:22" x14ac:dyDescent="0.25">
      <c r="A43" s="6">
        <v>162</v>
      </c>
      <c r="B43" s="6" t="s">
        <v>23</v>
      </c>
      <c r="C43" s="8">
        <v>42156</v>
      </c>
      <c r="D43" s="6">
        <v>2015</v>
      </c>
      <c r="E43" s="7">
        <v>691761</v>
      </c>
      <c r="F43" s="7">
        <v>421663</v>
      </c>
      <c r="G43" s="7">
        <v>1113424</v>
      </c>
      <c r="H43" s="7">
        <v>397434</v>
      </c>
      <c r="I43" s="7">
        <v>415165</v>
      </c>
      <c r="J43" s="7">
        <v>812599</v>
      </c>
      <c r="K43" s="7">
        <v>294327</v>
      </c>
      <c r="L43" s="7">
        <v>6498</v>
      </c>
      <c r="M43" s="7">
        <v>300825</v>
      </c>
      <c r="N43" s="7">
        <v>62115</v>
      </c>
      <c r="O43" s="7">
        <v>39300</v>
      </c>
      <c r="P43" s="7">
        <v>101415</v>
      </c>
      <c r="Q43" s="7">
        <v>34168</v>
      </c>
      <c r="R43" s="7">
        <v>38699</v>
      </c>
      <c r="S43" s="7">
        <v>72867</v>
      </c>
      <c r="T43" s="7">
        <v>27947</v>
      </c>
      <c r="U43" s="7">
        <v>600</v>
      </c>
      <c r="V43" s="7">
        <v>28548</v>
      </c>
    </row>
    <row r="44" spans="1:22" x14ac:dyDescent="0.25">
      <c r="A44" s="6">
        <v>163</v>
      </c>
      <c r="B44" s="6" t="s">
        <v>24</v>
      </c>
      <c r="C44" s="8">
        <v>42186</v>
      </c>
      <c r="D44" s="6">
        <v>2015</v>
      </c>
      <c r="E44" s="7">
        <v>691677</v>
      </c>
      <c r="F44" s="7">
        <v>423039</v>
      </c>
      <c r="G44" s="7">
        <v>1114716</v>
      </c>
      <c r="H44" s="7">
        <v>399186</v>
      </c>
      <c r="I44" s="7">
        <v>416421</v>
      </c>
      <c r="J44" s="7">
        <v>815607</v>
      </c>
      <c r="K44" s="7">
        <v>292491</v>
      </c>
      <c r="L44" s="7">
        <v>6618</v>
      </c>
      <c r="M44" s="7">
        <v>299109</v>
      </c>
      <c r="N44" s="7">
        <v>62989</v>
      </c>
      <c r="O44" s="7">
        <v>39923</v>
      </c>
      <c r="P44" s="7">
        <v>102912</v>
      </c>
      <c r="Q44" s="7">
        <v>34092</v>
      </c>
      <c r="R44" s="7">
        <v>39328</v>
      </c>
      <c r="S44" s="7">
        <v>73420</v>
      </c>
      <c r="T44" s="7">
        <v>28897</v>
      </c>
      <c r="U44" s="7">
        <v>595</v>
      </c>
      <c r="V44" s="7">
        <v>29492</v>
      </c>
    </row>
    <row r="45" spans="1:22" x14ac:dyDescent="0.25">
      <c r="A45" s="6">
        <v>164</v>
      </c>
      <c r="B45" s="6" t="s">
        <v>25</v>
      </c>
      <c r="C45" s="8">
        <v>42217</v>
      </c>
      <c r="D45" s="6">
        <v>2015</v>
      </c>
      <c r="E45" s="7">
        <v>694400</v>
      </c>
      <c r="F45" s="7">
        <v>427507</v>
      </c>
      <c r="G45" s="7">
        <v>1121907</v>
      </c>
      <c r="H45" s="7">
        <v>400062</v>
      </c>
      <c r="I45" s="7">
        <v>420742</v>
      </c>
      <c r="J45" s="7">
        <v>820804</v>
      </c>
      <c r="K45" s="7">
        <v>294338</v>
      </c>
      <c r="L45" s="7">
        <v>6765</v>
      </c>
      <c r="M45" s="7">
        <v>301103</v>
      </c>
      <c r="N45" s="7">
        <v>64557</v>
      </c>
      <c r="O45" s="7">
        <v>40017</v>
      </c>
      <c r="P45" s="7">
        <v>104574</v>
      </c>
      <c r="Q45" s="7">
        <v>34335</v>
      </c>
      <c r="R45" s="7">
        <v>39413</v>
      </c>
      <c r="S45" s="7">
        <v>73748</v>
      </c>
      <c r="T45" s="7">
        <v>30221</v>
      </c>
      <c r="U45" s="7">
        <v>605</v>
      </c>
      <c r="V45" s="7">
        <v>30826</v>
      </c>
    </row>
    <row r="46" spans="1:22" x14ac:dyDescent="0.25">
      <c r="A46" s="6">
        <v>165</v>
      </c>
      <c r="B46" s="6" t="s">
        <v>26</v>
      </c>
      <c r="C46" s="8">
        <v>42248</v>
      </c>
      <c r="D46" s="6">
        <v>2015</v>
      </c>
      <c r="E46" s="7">
        <v>691511</v>
      </c>
      <c r="F46" s="7">
        <v>432381</v>
      </c>
      <c r="G46" s="7">
        <v>1123892</v>
      </c>
      <c r="H46" s="7">
        <v>398498</v>
      </c>
      <c r="I46" s="7">
        <v>425703</v>
      </c>
      <c r="J46" s="7">
        <v>824201</v>
      </c>
      <c r="K46" s="7">
        <v>293013</v>
      </c>
      <c r="L46" s="7">
        <v>6678</v>
      </c>
      <c r="M46" s="7">
        <v>299691</v>
      </c>
      <c r="N46" s="7">
        <v>64693</v>
      </c>
      <c r="O46" s="7">
        <v>39544</v>
      </c>
      <c r="P46" s="7">
        <v>104237</v>
      </c>
      <c r="Q46" s="7">
        <v>35073</v>
      </c>
      <c r="R46" s="7">
        <v>38922</v>
      </c>
      <c r="S46" s="7">
        <v>73995</v>
      </c>
      <c r="T46" s="7">
        <v>29620</v>
      </c>
      <c r="U46" s="7">
        <v>622</v>
      </c>
      <c r="V46" s="7">
        <v>30242</v>
      </c>
    </row>
    <row r="47" spans="1:22" x14ac:dyDescent="0.25">
      <c r="A47" s="6">
        <v>166</v>
      </c>
      <c r="B47" s="6" t="s">
        <v>27</v>
      </c>
      <c r="C47" s="8">
        <v>42278</v>
      </c>
      <c r="D47" s="6">
        <v>2015</v>
      </c>
      <c r="E47" s="7">
        <v>691585</v>
      </c>
      <c r="F47" s="7">
        <v>431164</v>
      </c>
      <c r="G47" s="7">
        <v>1122749</v>
      </c>
      <c r="H47" s="7">
        <v>403837</v>
      </c>
      <c r="I47" s="7">
        <v>424657</v>
      </c>
      <c r="J47" s="7">
        <v>828494</v>
      </c>
      <c r="K47" s="7">
        <v>287748</v>
      </c>
      <c r="L47" s="7">
        <v>6507</v>
      </c>
      <c r="M47" s="7">
        <v>294256</v>
      </c>
      <c r="N47" s="7">
        <v>62909</v>
      </c>
      <c r="O47" s="7">
        <v>39614</v>
      </c>
      <c r="P47" s="7">
        <v>102523</v>
      </c>
      <c r="Q47" s="7">
        <v>35897</v>
      </c>
      <c r="R47" s="7">
        <v>39030</v>
      </c>
      <c r="S47" s="7">
        <v>74927</v>
      </c>
      <c r="T47" s="7">
        <v>27013</v>
      </c>
      <c r="U47" s="7">
        <v>584</v>
      </c>
      <c r="V47" s="7">
        <v>27597</v>
      </c>
    </row>
    <row r="48" spans="1:22" x14ac:dyDescent="0.25">
      <c r="A48" s="6">
        <v>167</v>
      </c>
      <c r="B48" s="6" t="s">
        <v>28</v>
      </c>
      <c r="C48" s="8">
        <v>42309</v>
      </c>
      <c r="D48" s="6">
        <v>2015</v>
      </c>
      <c r="E48" s="7">
        <v>680526</v>
      </c>
      <c r="F48" s="7">
        <v>436437</v>
      </c>
      <c r="G48" s="7">
        <v>1116962</v>
      </c>
      <c r="H48" s="7">
        <v>400344</v>
      </c>
      <c r="I48" s="7">
        <v>429850</v>
      </c>
      <c r="J48" s="7">
        <v>830195</v>
      </c>
      <c r="K48" s="7">
        <v>280181</v>
      </c>
      <c r="L48" s="7">
        <v>6587</v>
      </c>
      <c r="M48" s="7">
        <v>286768</v>
      </c>
      <c r="N48" s="7">
        <v>57616</v>
      </c>
      <c r="O48" s="7">
        <v>35945</v>
      </c>
      <c r="P48" s="7">
        <v>93561</v>
      </c>
      <c r="Q48" s="7">
        <v>34432</v>
      </c>
      <c r="R48" s="7">
        <v>35388</v>
      </c>
      <c r="S48" s="7">
        <v>69820</v>
      </c>
      <c r="T48" s="7">
        <v>23184</v>
      </c>
      <c r="U48" s="7">
        <v>557</v>
      </c>
      <c r="V48" s="7">
        <v>23741</v>
      </c>
    </row>
    <row r="49" spans="1:22" x14ac:dyDescent="0.25">
      <c r="A49" s="6">
        <v>168</v>
      </c>
      <c r="B49" s="6" t="s">
        <v>29</v>
      </c>
      <c r="C49" s="8">
        <v>42339</v>
      </c>
      <c r="D49" s="6">
        <v>2015</v>
      </c>
      <c r="E49" s="7">
        <v>684481</v>
      </c>
      <c r="F49" s="7">
        <v>439017</v>
      </c>
      <c r="G49" s="7">
        <v>1123497</v>
      </c>
      <c r="H49" s="7">
        <v>394237</v>
      </c>
      <c r="I49" s="7">
        <v>433108</v>
      </c>
      <c r="J49" s="7">
        <v>827345</v>
      </c>
      <c r="K49" s="7">
        <v>290244</v>
      </c>
      <c r="L49" s="7">
        <v>5909</v>
      </c>
      <c r="M49" s="7">
        <v>296153</v>
      </c>
      <c r="N49" s="7">
        <v>54150</v>
      </c>
      <c r="O49" s="7">
        <v>32378</v>
      </c>
      <c r="P49" s="7">
        <v>86527</v>
      </c>
      <c r="Q49" s="7">
        <v>33312</v>
      </c>
      <c r="R49" s="7">
        <v>31911</v>
      </c>
      <c r="S49" s="7">
        <v>65223</v>
      </c>
      <c r="T49" s="7">
        <v>20838</v>
      </c>
      <c r="U49" s="7">
        <v>467</v>
      </c>
      <c r="V49" s="7">
        <v>21305</v>
      </c>
    </row>
    <row r="50" spans="1:22" x14ac:dyDescent="0.25">
      <c r="A50" s="6">
        <v>169</v>
      </c>
      <c r="B50" s="6" t="s">
        <v>18</v>
      </c>
      <c r="C50" s="8">
        <v>42370</v>
      </c>
      <c r="D50" s="6">
        <v>2016</v>
      </c>
      <c r="E50" s="7">
        <v>701883</v>
      </c>
      <c r="F50" s="7">
        <v>438958</v>
      </c>
      <c r="G50" s="7">
        <v>1140841</v>
      </c>
      <c r="H50" s="7">
        <v>398241</v>
      </c>
      <c r="I50" s="7">
        <v>433164</v>
      </c>
      <c r="J50" s="7">
        <v>831405</v>
      </c>
      <c r="K50" s="7">
        <v>303643</v>
      </c>
      <c r="L50" s="7">
        <v>5794</v>
      </c>
      <c r="M50" s="7">
        <v>309437</v>
      </c>
      <c r="N50" s="7">
        <v>48064</v>
      </c>
      <c r="O50" s="7">
        <v>29521</v>
      </c>
      <c r="P50" s="7">
        <v>77586</v>
      </c>
      <c r="Q50" s="7">
        <v>29791</v>
      </c>
      <c r="R50" s="7">
        <v>29125</v>
      </c>
      <c r="S50" s="7">
        <v>58916</v>
      </c>
      <c r="T50" s="7">
        <v>18273</v>
      </c>
      <c r="U50" s="7">
        <v>396</v>
      </c>
      <c r="V50" s="7">
        <v>18669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1A9CD-4360-4D51-9A52-179904C05F11}">
  <dimension ref="A1:L85"/>
  <sheetViews>
    <sheetView zoomScale="97" zoomScaleNormal="97" workbookViewId="0">
      <selection activeCell="C5" sqref="C5"/>
    </sheetView>
  </sheetViews>
  <sheetFormatPr defaultRowHeight="15" x14ac:dyDescent="0.25"/>
  <cols>
    <col min="1" max="1" width="35" bestFit="1" customWidth="1"/>
    <col min="2" max="2" width="7.5703125" bestFit="1" customWidth="1"/>
    <col min="3" max="3" width="32.140625" bestFit="1" customWidth="1"/>
    <col min="4" max="4" width="7.5703125" style="10" bestFit="1" customWidth="1"/>
    <col min="5" max="5" width="10" style="10" bestFit="1" customWidth="1"/>
    <col min="6" max="6" width="11.7109375" customWidth="1"/>
    <col min="7" max="7" width="13.42578125" bestFit="1" customWidth="1"/>
    <col min="8" max="8" width="11.5703125" bestFit="1" customWidth="1"/>
    <col min="9" max="9" width="14.5703125" bestFit="1" customWidth="1"/>
    <col min="10" max="11" width="12.7109375" bestFit="1" customWidth="1"/>
    <col min="12" max="12" width="17.140625" customWidth="1"/>
    <col min="13" max="506" width="40.85546875" bestFit="1" customWidth="1"/>
    <col min="507" max="507" width="44.5703125" bestFit="1" customWidth="1"/>
    <col min="508" max="508" width="43.85546875" bestFit="1" customWidth="1"/>
    <col min="509" max="509" width="47.42578125" bestFit="1" customWidth="1"/>
  </cols>
  <sheetData>
    <row r="1" spans="1:10" x14ac:dyDescent="0.25">
      <c r="I1" s="2" t="s">
        <v>32</v>
      </c>
      <c r="J1" s="3">
        <v>2016</v>
      </c>
    </row>
    <row r="2" spans="1:10" x14ac:dyDescent="0.25">
      <c r="A2" s="2" t="s">
        <v>32</v>
      </c>
      <c r="B2" s="3">
        <v>2016</v>
      </c>
      <c r="C2" s="2" t="s">
        <v>32</v>
      </c>
      <c r="D2" s="3">
        <v>2016</v>
      </c>
      <c r="E2" s="11"/>
    </row>
    <row r="3" spans="1:10" x14ac:dyDescent="0.25">
      <c r="D3"/>
      <c r="E3"/>
      <c r="I3" t="s">
        <v>48</v>
      </c>
    </row>
    <row r="4" spans="1:10" x14ac:dyDescent="0.25">
      <c r="A4" t="s">
        <v>44</v>
      </c>
      <c r="C4" t="s">
        <v>45</v>
      </c>
      <c r="D4"/>
      <c r="E4"/>
      <c r="G4" s="2" t="s">
        <v>32</v>
      </c>
      <c r="H4" s="3">
        <v>2012</v>
      </c>
      <c r="I4" s="5">
        <v>396</v>
      </c>
    </row>
    <row r="5" spans="1:10" x14ac:dyDescent="0.25">
      <c r="A5" s="5">
        <v>29791</v>
      </c>
      <c r="C5" s="5">
        <v>29125</v>
      </c>
      <c r="D5"/>
      <c r="E5"/>
      <c r="G5" s="14" t="s">
        <v>46</v>
      </c>
      <c r="H5" s="14"/>
      <c r="I5" s="14"/>
    </row>
    <row r="6" spans="1:10" x14ac:dyDescent="0.25">
      <c r="D6"/>
      <c r="E6"/>
      <c r="G6" s="2" t="s">
        <v>33</v>
      </c>
      <c r="H6" t="s">
        <v>40</v>
      </c>
      <c r="I6" t="s">
        <v>43</v>
      </c>
    </row>
    <row r="7" spans="1:10" x14ac:dyDescent="0.25">
      <c r="D7"/>
      <c r="E7"/>
      <c r="G7" s="3" t="s">
        <v>18</v>
      </c>
      <c r="H7" s="5">
        <v>256134</v>
      </c>
      <c r="I7" s="5">
        <v>567241</v>
      </c>
    </row>
    <row r="8" spans="1:10" x14ac:dyDescent="0.25">
      <c r="D8"/>
      <c r="E8"/>
      <c r="G8" s="3" t="s">
        <v>19</v>
      </c>
      <c r="H8" s="5">
        <v>257002</v>
      </c>
      <c r="I8" s="5">
        <v>568161</v>
      </c>
    </row>
    <row r="9" spans="1:10" x14ac:dyDescent="0.25">
      <c r="A9" s="2" t="s">
        <v>32</v>
      </c>
      <c r="B9" s="3">
        <v>2016</v>
      </c>
      <c r="D9"/>
      <c r="E9"/>
      <c r="G9" s="3" t="s">
        <v>20</v>
      </c>
      <c r="H9" s="5">
        <v>257200</v>
      </c>
      <c r="I9" s="5">
        <v>571468</v>
      </c>
    </row>
    <row r="10" spans="1:10" x14ac:dyDescent="0.25">
      <c r="D10"/>
      <c r="E10"/>
      <c r="G10" s="3" t="s">
        <v>21</v>
      </c>
      <c r="H10" s="5">
        <v>261565</v>
      </c>
      <c r="I10" s="5">
        <v>573386</v>
      </c>
    </row>
    <row r="11" spans="1:10" x14ac:dyDescent="0.25">
      <c r="A11" t="s">
        <v>47</v>
      </c>
      <c r="D11"/>
      <c r="E11"/>
      <c r="G11" s="3" t="s">
        <v>22</v>
      </c>
      <c r="H11" s="5">
        <v>265199</v>
      </c>
      <c r="I11" s="5">
        <v>584148</v>
      </c>
    </row>
    <row r="12" spans="1:10" x14ac:dyDescent="0.25">
      <c r="A12" s="5">
        <v>18273</v>
      </c>
      <c r="D12"/>
      <c r="E12"/>
      <c r="G12" s="3" t="s">
        <v>23</v>
      </c>
      <c r="H12" s="5">
        <v>270551</v>
      </c>
      <c r="I12" s="5">
        <v>588698</v>
      </c>
    </row>
    <row r="13" spans="1:10" x14ac:dyDescent="0.25">
      <c r="D13"/>
      <c r="E13"/>
      <c r="G13" s="3" t="s">
        <v>24</v>
      </c>
      <c r="H13" s="5">
        <v>273501</v>
      </c>
      <c r="I13" s="5">
        <v>583801</v>
      </c>
    </row>
    <row r="14" spans="1:10" x14ac:dyDescent="0.25">
      <c r="D14"/>
      <c r="E14"/>
      <c r="G14" s="3" t="s">
        <v>25</v>
      </c>
      <c r="H14" s="5">
        <v>280224</v>
      </c>
      <c r="I14" s="5">
        <v>577335</v>
      </c>
    </row>
    <row r="15" spans="1:10" x14ac:dyDescent="0.25">
      <c r="D15"/>
      <c r="E15"/>
      <c r="G15" s="3" t="s">
        <v>26</v>
      </c>
      <c r="H15" s="5">
        <v>287277</v>
      </c>
      <c r="I15" s="5">
        <v>575081</v>
      </c>
    </row>
    <row r="16" spans="1:10" x14ac:dyDescent="0.25">
      <c r="D16"/>
      <c r="E16"/>
      <c r="G16" s="3" t="s">
        <v>27</v>
      </c>
      <c r="H16" s="5">
        <v>295753</v>
      </c>
      <c r="I16" s="5">
        <v>574609</v>
      </c>
    </row>
    <row r="17" spans="3:12" x14ac:dyDescent="0.25">
      <c r="D17"/>
      <c r="E17"/>
      <c r="G17" s="3" t="s">
        <v>28</v>
      </c>
      <c r="H17" s="5">
        <v>299758</v>
      </c>
      <c r="I17" s="5">
        <v>567098</v>
      </c>
    </row>
    <row r="18" spans="3:12" x14ac:dyDescent="0.25">
      <c r="D18"/>
      <c r="E18"/>
      <c r="G18" s="3" t="s">
        <v>29</v>
      </c>
      <c r="H18" s="5">
        <v>301647</v>
      </c>
      <c r="I18" s="5">
        <v>564083</v>
      </c>
    </row>
    <row r="19" spans="3:12" x14ac:dyDescent="0.25">
      <c r="D19"/>
      <c r="E19"/>
      <c r="G19" s="3" t="s">
        <v>34</v>
      </c>
      <c r="H19" s="5">
        <v>3305811</v>
      </c>
      <c r="I19" s="5">
        <v>6895109</v>
      </c>
    </row>
    <row r="20" spans="3:12" x14ac:dyDescent="0.25">
      <c r="D20"/>
      <c r="E20"/>
    </row>
    <row r="21" spans="3:12" x14ac:dyDescent="0.25">
      <c r="D21"/>
      <c r="E21"/>
    </row>
    <row r="23" spans="3:12" x14ac:dyDescent="0.25">
      <c r="C23" s="2" t="s">
        <v>30</v>
      </c>
      <c r="D23" t="s">
        <v>35</v>
      </c>
      <c r="I23" s="2" t="s">
        <v>30</v>
      </c>
      <c r="J23" t="s">
        <v>35</v>
      </c>
    </row>
    <row r="24" spans="3:12" x14ac:dyDescent="0.25">
      <c r="C24" s="14" t="s">
        <v>49</v>
      </c>
      <c r="D24" s="14"/>
      <c r="E24" s="14"/>
      <c r="I24" s="14" t="s">
        <v>50</v>
      </c>
      <c r="J24" s="14"/>
      <c r="K24" s="14"/>
      <c r="L24" s="14"/>
    </row>
    <row r="25" spans="3:12" x14ac:dyDescent="0.25">
      <c r="C25" s="2" t="s">
        <v>33</v>
      </c>
      <c r="D25" s="5" t="s">
        <v>41</v>
      </c>
      <c r="E25" s="5" t="s">
        <v>42</v>
      </c>
      <c r="I25" s="2" t="s">
        <v>33</v>
      </c>
      <c r="J25" s="5" t="s">
        <v>41</v>
      </c>
      <c r="K25" s="5" t="s">
        <v>42</v>
      </c>
    </row>
    <row r="26" spans="3:12" x14ac:dyDescent="0.25">
      <c r="C26" s="3">
        <v>2012</v>
      </c>
      <c r="D26" s="5">
        <v>3230509</v>
      </c>
      <c r="E26" s="5">
        <v>75301</v>
      </c>
      <c r="I26" s="3">
        <v>2012</v>
      </c>
      <c r="J26" s="5">
        <v>3624786</v>
      </c>
      <c r="K26" s="5">
        <v>3270323</v>
      </c>
    </row>
    <row r="27" spans="3:12" x14ac:dyDescent="0.25">
      <c r="C27" s="3">
        <v>2013</v>
      </c>
      <c r="D27" s="5">
        <v>3878788</v>
      </c>
      <c r="E27" s="5">
        <v>70226</v>
      </c>
      <c r="I27" s="3">
        <v>2013</v>
      </c>
      <c r="J27" s="5">
        <v>3723882</v>
      </c>
      <c r="K27" s="5">
        <v>3172984</v>
      </c>
    </row>
    <row r="28" spans="3:12" x14ac:dyDescent="0.25">
      <c r="C28" s="3">
        <v>2014</v>
      </c>
      <c r="D28" s="5">
        <v>4447733</v>
      </c>
      <c r="E28" s="5">
        <v>60596</v>
      </c>
      <c r="I28" s="3">
        <v>2014</v>
      </c>
      <c r="J28" s="5">
        <v>4195307</v>
      </c>
      <c r="K28" s="5">
        <v>3240233</v>
      </c>
    </row>
    <row r="29" spans="3:12" x14ac:dyDescent="0.25">
      <c r="C29" s="3">
        <v>2015</v>
      </c>
      <c r="D29" s="5">
        <v>4995859</v>
      </c>
      <c r="E29" s="5">
        <v>77080</v>
      </c>
      <c r="I29" s="3">
        <v>2015</v>
      </c>
      <c r="J29" s="5">
        <v>4677050</v>
      </c>
      <c r="K29" s="5">
        <v>3403378</v>
      </c>
    </row>
    <row r="30" spans="3:12" x14ac:dyDescent="0.25">
      <c r="C30" s="3">
        <v>2016</v>
      </c>
      <c r="D30" s="5">
        <v>433164</v>
      </c>
      <c r="E30" s="5">
        <v>5794</v>
      </c>
      <c r="I30" s="3">
        <v>2016</v>
      </c>
      <c r="J30" s="5">
        <v>398241</v>
      </c>
      <c r="K30" s="5">
        <v>303643</v>
      </c>
    </row>
    <row r="31" spans="3:12" x14ac:dyDescent="0.25">
      <c r="C31" s="3" t="s">
        <v>34</v>
      </c>
      <c r="D31" s="5">
        <v>16986053</v>
      </c>
      <c r="E31" s="5">
        <v>288997</v>
      </c>
      <c r="I31" s="3" t="s">
        <v>34</v>
      </c>
      <c r="J31" s="5">
        <v>16619266</v>
      </c>
      <c r="K31" s="5">
        <v>13390561</v>
      </c>
    </row>
    <row r="32" spans="3:12" x14ac:dyDescent="0.25">
      <c r="D32"/>
      <c r="E32"/>
      <c r="K32" s="5"/>
    </row>
    <row r="33" spans="3:5" x14ac:dyDescent="0.25">
      <c r="C33" s="2" t="s">
        <v>32</v>
      </c>
      <c r="D33" t="s">
        <v>35</v>
      </c>
      <c r="E33"/>
    </row>
    <row r="34" spans="3:5" x14ac:dyDescent="0.25">
      <c r="C34" s="13" t="s">
        <v>51</v>
      </c>
      <c r="D34" s="13"/>
      <c r="E34" s="13"/>
    </row>
    <row r="35" spans="3:5" x14ac:dyDescent="0.25">
      <c r="C35" s="2" t="s">
        <v>33</v>
      </c>
      <c r="D35" t="s">
        <v>37</v>
      </c>
      <c r="E35" t="s">
        <v>36</v>
      </c>
    </row>
    <row r="36" spans="3:5" x14ac:dyDescent="0.25">
      <c r="C36" s="3" t="s">
        <v>52</v>
      </c>
      <c r="D36" s="4">
        <v>571145</v>
      </c>
      <c r="E36" s="4">
        <v>279313</v>
      </c>
    </row>
    <row r="37" spans="3:5" x14ac:dyDescent="0.25">
      <c r="C37" s="3" t="s">
        <v>38</v>
      </c>
      <c r="D37" s="4">
        <v>635669</v>
      </c>
      <c r="E37" s="4">
        <v>270683</v>
      </c>
    </row>
    <row r="38" spans="3:5" x14ac:dyDescent="0.25">
      <c r="C38" s="3" t="s">
        <v>53</v>
      </c>
      <c r="D38" s="4">
        <v>717713</v>
      </c>
      <c r="E38" s="4">
        <v>275697</v>
      </c>
    </row>
    <row r="39" spans="3:5" x14ac:dyDescent="0.25">
      <c r="C39" s="3" t="s">
        <v>54</v>
      </c>
      <c r="D39" s="4">
        <v>806655</v>
      </c>
      <c r="E39" s="4">
        <v>291502</v>
      </c>
    </row>
    <row r="40" spans="3:5" x14ac:dyDescent="0.25">
      <c r="C40" s="3" t="s">
        <v>55</v>
      </c>
      <c r="D40" s="4">
        <v>58916</v>
      </c>
      <c r="E40" s="4">
        <v>18669</v>
      </c>
    </row>
    <row r="41" spans="3:5" x14ac:dyDescent="0.25">
      <c r="C41" s="3" t="s">
        <v>34</v>
      </c>
      <c r="D41" s="4">
        <v>2790098</v>
      </c>
      <c r="E41" s="4">
        <v>1135864</v>
      </c>
    </row>
    <row r="42" spans="3:5" x14ac:dyDescent="0.25">
      <c r="D42"/>
      <c r="E42"/>
    </row>
    <row r="43" spans="3:5" x14ac:dyDescent="0.25">
      <c r="D43"/>
      <c r="E43"/>
    </row>
    <row r="44" spans="3:5" x14ac:dyDescent="0.25">
      <c r="D44"/>
      <c r="E44"/>
    </row>
    <row r="45" spans="3:5" x14ac:dyDescent="0.25">
      <c r="D45"/>
      <c r="E45"/>
    </row>
    <row r="46" spans="3:5" x14ac:dyDescent="0.25">
      <c r="D46"/>
      <c r="E46"/>
    </row>
    <row r="47" spans="3:5" x14ac:dyDescent="0.25">
      <c r="D47"/>
      <c r="E47"/>
    </row>
    <row r="48" spans="3:5" x14ac:dyDescent="0.25">
      <c r="D48"/>
      <c r="E48"/>
    </row>
    <row r="49" spans="4:5" x14ac:dyDescent="0.25">
      <c r="D49"/>
      <c r="E49"/>
    </row>
    <row r="50" spans="4:5" x14ac:dyDescent="0.25">
      <c r="D50"/>
      <c r="E50"/>
    </row>
    <row r="51" spans="4:5" x14ac:dyDescent="0.25">
      <c r="D51"/>
      <c r="E51"/>
    </row>
    <row r="52" spans="4:5" x14ac:dyDescent="0.25">
      <c r="D52"/>
      <c r="E52"/>
    </row>
    <row r="53" spans="4:5" x14ac:dyDescent="0.25">
      <c r="D53"/>
      <c r="E53"/>
    </row>
    <row r="54" spans="4:5" x14ac:dyDescent="0.25">
      <c r="D54"/>
      <c r="E54"/>
    </row>
    <row r="55" spans="4:5" x14ac:dyDescent="0.25">
      <c r="D55"/>
      <c r="E55"/>
    </row>
    <row r="56" spans="4:5" x14ac:dyDescent="0.25">
      <c r="D56"/>
      <c r="E56"/>
    </row>
    <row r="57" spans="4:5" x14ac:dyDescent="0.25">
      <c r="D57"/>
      <c r="E57"/>
    </row>
    <row r="58" spans="4:5" x14ac:dyDescent="0.25">
      <c r="D58"/>
      <c r="E58"/>
    </row>
    <row r="59" spans="4:5" x14ac:dyDescent="0.25">
      <c r="D59"/>
      <c r="E59"/>
    </row>
    <row r="60" spans="4:5" x14ac:dyDescent="0.25">
      <c r="D60"/>
      <c r="E60"/>
    </row>
    <row r="61" spans="4:5" x14ac:dyDescent="0.25">
      <c r="D61"/>
      <c r="E61"/>
    </row>
    <row r="62" spans="4:5" x14ac:dyDescent="0.25">
      <c r="D62"/>
      <c r="E62"/>
    </row>
    <row r="63" spans="4:5" x14ac:dyDescent="0.25">
      <c r="D63"/>
      <c r="E63"/>
    </row>
    <row r="64" spans="4:5" x14ac:dyDescent="0.25">
      <c r="D64"/>
      <c r="E64"/>
    </row>
    <row r="65" spans="4:5" x14ac:dyDescent="0.25">
      <c r="D65"/>
      <c r="E65"/>
    </row>
    <row r="66" spans="4:5" x14ac:dyDescent="0.25">
      <c r="D66"/>
      <c r="E66"/>
    </row>
    <row r="67" spans="4:5" x14ac:dyDescent="0.25">
      <c r="D67"/>
      <c r="E67"/>
    </row>
    <row r="68" spans="4:5" x14ac:dyDescent="0.25">
      <c r="D68"/>
      <c r="E68"/>
    </row>
    <row r="69" spans="4:5" x14ac:dyDescent="0.25">
      <c r="D69"/>
      <c r="E69"/>
    </row>
    <row r="70" spans="4:5" x14ac:dyDescent="0.25">
      <c r="D70"/>
      <c r="E70"/>
    </row>
    <row r="71" spans="4:5" x14ac:dyDescent="0.25">
      <c r="D71"/>
      <c r="E71"/>
    </row>
    <row r="72" spans="4:5" x14ac:dyDescent="0.25">
      <c r="D72"/>
      <c r="E72"/>
    </row>
    <row r="73" spans="4:5" x14ac:dyDescent="0.25">
      <c r="D73"/>
      <c r="E73"/>
    </row>
    <row r="74" spans="4:5" x14ac:dyDescent="0.25">
      <c r="D74"/>
      <c r="E74"/>
    </row>
    <row r="75" spans="4:5" x14ac:dyDescent="0.25">
      <c r="D75"/>
      <c r="E75"/>
    </row>
    <row r="76" spans="4:5" x14ac:dyDescent="0.25">
      <c r="D76"/>
      <c r="E76"/>
    </row>
    <row r="77" spans="4:5" x14ac:dyDescent="0.25">
      <c r="D77"/>
      <c r="E77"/>
    </row>
    <row r="78" spans="4:5" x14ac:dyDescent="0.25">
      <c r="D78"/>
      <c r="E78"/>
    </row>
    <row r="79" spans="4:5" x14ac:dyDescent="0.25">
      <c r="D79"/>
      <c r="E79"/>
    </row>
    <row r="80" spans="4:5" x14ac:dyDescent="0.25">
      <c r="D80"/>
      <c r="E80"/>
    </row>
    <row r="81" spans="4:5" x14ac:dyDescent="0.25">
      <c r="D81"/>
      <c r="E81"/>
    </row>
    <row r="82" spans="4:5" x14ac:dyDescent="0.25">
      <c r="D82"/>
      <c r="E82"/>
    </row>
    <row r="83" spans="4:5" x14ac:dyDescent="0.25">
      <c r="D83"/>
      <c r="E83"/>
    </row>
    <row r="84" spans="4:5" x14ac:dyDescent="0.25">
      <c r="D84"/>
      <c r="E84"/>
    </row>
    <row r="85" spans="4:5" x14ac:dyDescent="0.25">
      <c r="D85"/>
      <c r="E85"/>
    </row>
  </sheetData>
  <mergeCells count="4">
    <mergeCell ref="C34:E34"/>
    <mergeCell ref="C24:E24"/>
    <mergeCell ref="I24:L24"/>
    <mergeCell ref="G5:I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762E-A603-4695-B087-620E34A4F859}">
  <dimension ref="A1"/>
  <sheetViews>
    <sheetView showGridLines="0" tabSelected="1" topLeftCell="C20" zoomScale="77" zoomScaleNormal="77" workbookViewId="0">
      <selection activeCell="AA33" sqref="AA33"/>
    </sheetView>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Dataset </vt:lpstr>
      <vt:lpstr>Report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Emeka Igboasoiyi</dc:creator>
  <cp:lastModifiedBy>Emeka Igboasoiyi</cp:lastModifiedBy>
  <cp:lastPrinted>2025-07-24T14:57:39Z</cp:lastPrinted>
  <dcterms:created xsi:type="dcterms:W3CDTF">2025-07-24T14:50:46Z</dcterms:created>
  <dcterms:modified xsi:type="dcterms:W3CDTF">2025-08-16T16:08:19Z</dcterms:modified>
</cp:coreProperties>
</file>